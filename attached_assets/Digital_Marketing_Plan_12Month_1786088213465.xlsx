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ptions" sheetId="1" state="visible" r:id="rId1"/>
    <sheet xmlns:r="http://schemas.openxmlformats.org/officeDocument/2006/relationships" name="Monthly Plan" sheetId="2" state="visible" r:id="rId2"/>
    <sheet xmlns:r="http://schemas.openxmlformats.org/officeDocument/2006/relationships" name="Dashboard" sheetId="3" state="visible" r:id="rId3"/>
    <sheet xmlns:r="http://schemas.openxmlformats.org/officeDocument/2006/relationships" name="Sayzio ROI &amp; Value" sheetId="4" state="visible" r:id="rId4"/>
  </sheets>
  <definedNames>
    <definedName name="_xlnm.Print_Titles" localSheetId="2">'Dashboard'!$1:$2</definedName>
    <definedName name="_xlnm.Print_Area" localSheetId="2">'Dashboard'!$A$1:$N$122</definedName>
    <definedName name="_xlnm.Print_Titles" localSheetId="3">'Sayzio ROI &amp; Value'!$1:$2</definedName>
    <definedName name="_xlnm.Print_Area" localSheetId="3">'Sayzio ROI &amp; Value'!$A$1:$N$45</definedName>
  </definedNames>
  <calcPr calcId="124519" fullCalcOnLoad="1"/>
</workbook>
</file>

<file path=xl/styles.xml><?xml version="1.0" encoding="utf-8"?>
<styleSheet xmlns="http://schemas.openxmlformats.org/spreadsheetml/2006/main">
  <numFmts count="6">
    <numFmt numFmtId="164" formatCode="₹#,##0"/>
    <numFmt numFmtId="165" formatCode="$#,##0"/>
    <numFmt numFmtId="166" formatCode="0.0%"/>
    <numFmt numFmtId="167" formatCode="₹#,##0.00"/>
    <numFmt numFmtId="168" formatCode="0.0000"/>
    <numFmt numFmtId="169" formatCode="0.0"/>
  </numFmts>
  <fonts count="20">
    <font>
      <name val="Calibri"/>
      <family val="2"/>
      <color theme="1"/>
      <sz val="11"/>
      <scheme val="minor"/>
    </font>
    <font>
      <name val="Arial"/>
      <b val="1"/>
      <color rgb="00FFFFFF"/>
      <sz val="16"/>
    </font>
    <font>
      <name val="Arial"/>
      <i val="1"/>
      <color rgb="006B6483"/>
      <sz val="10"/>
    </font>
    <font>
      <name val="Arial"/>
      <b val="1"/>
      <color rgb="001A1533"/>
      <sz val="10"/>
    </font>
    <font>
      <name val="Arial"/>
      <color rgb="000000FF"/>
      <sz val="10"/>
    </font>
    <font>
      <name val="Arial"/>
      <color rgb="000000FF"/>
      <sz val="11"/>
    </font>
    <font>
      <name val="Arial"/>
      <color rgb="001A1533"/>
      <sz val="10"/>
    </font>
    <font>
      <name val="Arial"/>
      <b val="1"/>
      <color rgb="00FFFFFF"/>
      <sz val="11"/>
    </font>
    <font>
      <name val="Arial"/>
      <b val="1"/>
      <color rgb="00FFFFFF"/>
      <sz val="10"/>
    </font>
    <font>
      <name val="Arial"/>
      <i val="1"/>
      <color rgb="006B6483"/>
      <sz val="9"/>
    </font>
    <font>
      <name val="Arial"/>
      <color rgb="006B6483"/>
      <sz val="9"/>
    </font>
    <font>
      <name val="Arial"/>
      <b val="1"/>
      <color rgb="003D22C9"/>
      <sz val="10"/>
    </font>
    <font>
      <name val="Arial"/>
      <b val="1"/>
      <color rgb="003D22C9"/>
      <sz val="12"/>
    </font>
    <font>
      <name val="Arial"/>
      <i val="1"/>
      <color rgb="006B6483"/>
      <sz val="11"/>
    </font>
    <font>
      <name val="Arial"/>
      <b val="1"/>
      <color rgb="006B6483"/>
      <sz val="10"/>
    </font>
    <font>
      <name val="Arial"/>
      <b val="1"/>
      <color rgb="00140F33"/>
      <sz val="20"/>
    </font>
    <font>
      <name val="Arial"/>
      <b val="1"/>
      <color rgb="003D22C9"/>
      <sz val="20"/>
    </font>
    <font>
      <name val="Arial"/>
      <b val="1"/>
      <color rgb="00140F33"/>
      <sz val="12"/>
    </font>
    <font>
      <name val="Arial"/>
      <b val="1"/>
      <color rgb="003D22C9"/>
      <sz val="13"/>
    </font>
    <font>
      <name val="Arial"/>
      <b val="1"/>
      <color rgb="00FFFFFF"/>
      <sz val="12"/>
    </font>
  </fonts>
  <fills count="7">
    <fill>
      <patternFill/>
    </fill>
    <fill>
      <patternFill patternType="gray125"/>
    </fill>
    <fill>
      <patternFill patternType="solid">
        <fgColor rgb="00140F33"/>
      </patternFill>
    </fill>
    <fill>
      <patternFill patternType="solid">
        <fgColor rgb="003D22C9"/>
      </patternFill>
    </fill>
    <fill>
      <patternFill patternType="solid">
        <fgColor rgb="005E3BFF"/>
      </patternFill>
    </fill>
    <fill>
      <patternFill patternType="solid">
        <fgColor rgb="00FFF6C9"/>
      </patternFill>
    </fill>
    <fill>
      <patternFill patternType="solid">
        <fgColor rgb="00F2EFFF"/>
      </patternFill>
    </fill>
  </fills>
  <borders count="2">
    <border>
      <left/>
      <right/>
      <top/>
      <bottom/>
      <diagonal/>
    </border>
    <border>
      <left style="thin">
        <color rgb="00D8D2F5"/>
      </left>
      <right style="thin">
        <color rgb="00D8D2F5"/>
      </right>
      <top style="thin">
        <color rgb="00D8D2F5"/>
      </top>
      <bottom style="thin">
        <color rgb="00D8D2F5"/>
      </bottom>
    </border>
  </borders>
  <cellStyleXfs count="1">
    <xf numFmtId="0" fontId="0" fillId="0" borderId="0"/>
  </cellStyleXfs>
  <cellXfs count="7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0" borderId="0" applyAlignment="1" pivotButton="0" quotePrefix="0" xfId="0">
      <alignment vertical="center"/>
    </xf>
    <xf numFmtId="0" fontId="4" fillId="0" borderId="0" pivotButton="0" quotePrefix="0" xfId="0"/>
    <xf numFmtId="164" fontId="5" fillId="0" borderId="0" pivotButton="0" quotePrefix="0" xfId="0"/>
    <xf numFmtId="0" fontId="6" fillId="0" borderId="0" applyAlignment="1" pivotButton="0" quotePrefix="0" xfId="0">
      <alignment vertical="center"/>
    </xf>
    <xf numFmtId="0" fontId="6" fillId="0" borderId="0" pivotButton="0" quotePrefix="0" xfId="0"/>
    <xf numFmtId="0" fontId="7" fillId="3" borderId="0" applyAlignment="1" pivotButton="0" quotePrefix="0" xfId="0">
      <alignment horizontal="left" vertical="center" indent="1"/>
    </xf>
    <xf numFmtId="0" fontId="3" fillId="0" borderId="0" pivotButton="0" quotePrefix="0" xfId="0"/>
    <xf numFmtId="0" fontId="8" fillId="4" borderId="0" applyAlignment="1" pivotButton="0" quotePrefix="0" xfId="0">
      <alignment horizontal="center"/>
    </xf>
    <xf numFmtId="2" fontId="4" fillId="0" borderId="1" applyAlignment="1" pivotButton="0" quotePrefix="0" xfId="0">
      <alignment horizontal="center"/>
    </xf>
    <xf numFmtId="2" fontId="3" fillId="0" borderId="0" applyAlignment="1" pivotButton="0" quotePrefix="0" xfId="0">
      <alignment horizontal="center"/>
    </xf>
    <xf numFmtId="0" fontId="4" fillId="5" borderId="1" pivotButton="0" quotePrefix="0" xfId="0"/>
    <xf numFmtId="164" fontId="6" fillId="0" borderId="0" pivotButton="0" quotePrefix="0" xfId="0"/>
    <xf numFmtId="165" fontId="6" fillId="0" borderId="0" pivotButton="0" quotePrefix="0" xfId="0"/>
    <xf numFmtId="0" fontId="9" fillId="0" borderId="0" pivotButton="0" quotePrefix="0" xfId="0"/>
    <xf numFmtId="0" fontId="8" fillId="4" borderId="0" applyAlignment="1" pivotButton="0" quotePrefix="0" xfId="0">
      <alignment horizontal="center" vertical="center" wrapText="1"/>
    </xf>
    <xf numFmtId="0" fontId="3" fillId="0" borderId="1" pivotButton="0" quotePrefix="0" xfId="0"/>
    <xf numFmtId="0" fontId="4" fillId="0" borderId="1" applyAlignment="1" pivotButton="0" quotePrefix="0" xfId="0">
      <alignment horizontal="center"/>
    </xf>
    <xf numFmtId="166" fontId="4" fillId="0" borderId="1" applyAlignment="1" pivotButton="0" quotePrefix="0" xfId="0">
      <alignment horizontal="center"/>
    </xf>
    <xf numFmtId="164" fontId="4" fillId="0" borderId="1" applyAlignment="1" pivotButton="0" quotePrefix="0" xfId="0">
      <alignment horizontal="center"/>
    </xf>
    <xf numFmtId="0" fontId="10" fillId="0" borderId="1" pivotButton="0" quotePrefix="0" xfId="0"/>
    <xf numFmtId="0" fontId="6" fillId="0" borderId="1" applyAlignment="1" pivotButton="0" quotePrefix="0" xfId="0">
      <alignment horizontal="center"/>
    </xf>
    <xf numFmtId="164" fontId="6" fillId="0" borderId="1" applyAlignment="1" pivotButton="0" quotePrefix="0" xfId="0">
      <alignment horizontal="center"/>
    </xf>
    <xf numFmtId="167" fontId="4" fillId="0" borderId="1" applyAlignment="1" pivotButton="0" quotePrefix="0" xfId="0">
      <alignment horizontal="center"/>
    </xf>
    <xf numFmtId="167" fontId="6" fillId="0" borderId="1" applyAlignment="1" pivotButton="0" quotePrefix="0" xfId="0">
      <alignment horizontal="center"/>
    </xf>
    <xf numFmtId="166" fontId="3" fillId="0" borderId="1" applyAlignment="1" pivotButton="0" quotePrefix="0" xfId="0">
      <alignment horizontal="center"/>
    </xf>
    <xf numFmtId="0" fontId="0" fillId="0" borderId="1" pivotButton="0" quotePrefix="0" xfId="0"/>
    <xf numFmtId="0" fontId="11" fillId="0" borderId="0" pivotButton="0" quotePrefix="0" xfId="0"/>
    <xf numFmtId="0" fontId="8" fillId="4" borderId="0" applyAlignment="1" pivotButton="0" quotePrefix="0" xfId="0">
      <alignment horizontal="center" wrapText="1"/>
    </xf>
    <xf numFmtId="0" fontId="6" fillId="0" borderId="1" pivotButton="0" quotePrefix="0" xfId="0"/>
    <xf numFmtId="165" fontId="6" fillId="0" borderId="1" applyAlignment="1" pivotButton="0" quotePrefix="0" xfId="0">
      <alignment horizontal="center"/>
    </xf>
    <xf numFmtId="0" fontId="9" fillId="0" borderId="0" applyAlignment="1" pivotButton="0" quotePrefix="0" xfId="0">
      <alignment vertical="top" wrapText="1"/>
    </xf>
    <xf numFmtId="2" fontId="4" fillId="0" borderId="1" pivotButton="0" quotePrefix="0" xfId="0"/>
    <xf numFmtId="168" fontId="6" fillId="0" borderId="0" pivotButton="0" quotePrefix="0" xfId="0"/>
    <xf numFmtId="4" fontId="4" fillId="0" borderId="1" applyAlignment="1" pivotButton="0" quotePrefix="0" xfId="0">
      <alignment horizontal="center"/>
    </xf>
    <xf numFmtId="0" fontId="12" fillId="0" borderId="1" applyAlignment="1" pivotButton="0" quotePrefix="0" xfId="0">
      <alignment horizontal="center"/>
    </xf>
    <xf numFmtId="166" fontId="4" fillId="0" borderId="1" pivotButton="0" quotePrefix="0" xfId="0"/>
    <xf numFmtId="2" fontId="6" fillId="0" borderId="0" pivotButton="0" quotePrefix="0" xfId="0"/>
    <xf numFmtId="164" fontId="4" fillId="0" borderId="1" pivotButton="0" quotePrefix="0" xfId="0"/>
    <xf numFmtId="3" fontId="4" fillId="0" borderId="1" pivotButton="0" quotePrefix="0" xfId="0"/>
    <xf numFmtId="0" fontId="8" fillId="4" borderId="0" pivotButton="0" quotePrefix="0" xfId="0"/>
    <xf numFmtId="0" fontId="8" fillId="3" borderId="0" pivotButton="0" quotePrefix="0" xfId="0"/>
    <xf numFmtId="0" fontId="6" fillId="0" borderId="0" applyAlignment="1" pivotButton="0" quotePrefix="0" xfId="0">
      <alignment indent="1"/>
    </xf>
    <xf numFmtId="164" fontId="0" fillId="0" borderId="0" applyAlignment="1" pivotButton="0" quotePrefix="0" xfId="0">
      <alignment horizontal="center"/>
    </xf>
    <xf numFmtId="164" fontId="3" fillId="0" borderId="0" applyAlignment="1" pivotButton="0" quotePrefix="0" xfId="0">
      <alignment horizontal="center"/>
    </xf>
    <xf numFmtId="3" fontId="0" fillId="0" borderId="0" applyAlignment="1" pivotButton="0" quotePrefix="0" xfId="0">
      <alignment horizontal="center"/>
    </xf>
    <xf numFmtId="3" fontId="3" fillId="0" borderId="0" applyAlignment="1" pivotButton="0" quotePrefix="0" xfId="0">
      <alignment horizontal="center"/>
    </xf>
    <xf numFmtId="0" fontId="8" fillId="2" borderId="0" pivotButton="0" quotePrefix="0" xfId="0"/>
    <xf numFmtId="166" fontId="11" fillId="0" borderId="0" applyAlignment="1" pivotButton="0" quotePrefix="0" xfId="0">
      <alignment horizontal="center"/>
    </xf>
    <xf numFmtId="2" fontId="11" fillId="0" borderId="0" applyAlignment="1" pivotButton="0" quotePrefix="0" xfId="0">
      <alignment horizontal="center"/>
    </xf>
    <xf numFmtId="167" fontId="11" fillId="0" borderId="0" applyAlignment="1" pivotButton="0" quotePrefix="0" xfId="0">
      <alignment horizontal="center"/>
    </xf>
    <xf numFmtId="0" fontId="13" fillId="0" borderId="0" applyAlignment="1" pivotButton="0" quotePrefix="0" xfId="0">
      <alignment horizontal="left" vertical="center" indent="1"/>
    </xf>
    <xf numFmtId="0" fontId="14" fillId="6" borderId="1" applyAlignment="1" pivotButton="0" quotePrefix="0" xfId="0">
      <alignment horizontal="left" vertical="center" indent="1"/>
    </xf>
    <xf numFmtId="0" fontId="0" fillId="6" borderId="1" pivotButton="0" quotePrefix="0" xfId="0"/>
    <xf numFmtId="164" fontId="15" fillId="6" borderId="1" applyAlignment="1" pivotButton="0" quotePrefix="0" xfId="0">
      <alignment horizontal="left" vertical="center" indent="1"/>
    </xf>
    <xf numFmtId="164" fontId="16" fillId="6" borderId="1" applyAlignment="1" pivotButton="0" quotePrefix="0" xfId="0">
      <alignment horizontal="left" vertical="center" indent="1"/>
    </xf>
    <xf numFmtId="2" fontId="16" fillId="6" borderId="1" applyAlignment="1" pivotButton="0" quotePrefix="0" xfId="0">
      <alignment horizontal="left" vertical="center" indent="1"/>
    </xf>
    <xf numFmtId="3" fontId="15" fillId="6" borderId="1" applyAlignment="1" pivotButton="0" quotePrefix="0" xfId="0">
      <alignment horizontal="left" vertical="center" indent="1"/>
    </xf>
    <xf numFmtId="167" fontId="16" fillId="6" borderId="1" applyAlignment="1" pivotButton="0" quotePrefix="0" xfId="0">
      <alignment horizontal="left" vertical="center" indent="1"/>
    </xf>
    <xf numFmtId="166" fontId="16" fillId="6" borderId="1" applyAlignment="1" pivotButton="0" quotePrefix="0" xfId="0">
      <alignment horizontal="left" vertical="center" indent="1"/>
    </xf>
    <xf numFmtId="0" fontId="17" fillId="0" borderId="0" pivotButton="0" quotePrefix="0" xfId="0"/>
    <xf numFmtId="0" fontId="7" fillId="3" borderId="0" pivotButton="0" quotePrefix="0" xfId="0"/>
    <xf numFmtId="164" fontId="0" fillId="0" borderId="1" applyAlignment="1" pivotButton="0" quotePrefix="0" xfId="0">
      <alignment horizontal="center"/>
    </xf>
    <xf numFmtId="3" fontId="0" fillId="0" borderId="1" applyAlignment="1" pivotButton="0" quotePrefix="0" xfId="0">
      <alignment horizontal="center"/>
    </xf>
    <xf numFmtId="167" fontId="0" fillId="0" borderId="1" applyAlignment="1" pivotButton="0" quotePrefix="0" xfId="0">
      <alignment horizontal="center"/>
    </xf>
    <xf numFmtId="166" fontId="0" fillId="0" borderId="1" applyAlignment="1" pivotButton="0" quotePrefix="0" xfId="0">
      <alignment horizontal="center"/>
    </xf>
    <xf numFmtId="164" fontId="6" fillId="0" borderId="0" applyAlignment="1" pivotButton="0" quotePrefix="0" xfId="0">
      <alignment horizontal="center"/>
    </xf>
    <xf numFmtId="164" fontId="11" fillId="0" borderId="0" applyAlignment="1" pivotButton="0" quotePrefix="0" xfId="0">
      <alignment horizontal="center"/>
    </xf>
    <xf numFmtId="1" fontId="6" fillId="0" borderId="0" applyAlignment="1" pivotButton="0" quotePrefix="0" xfId="0">
      <alignment horizontal="center"/>
    </xf>
    <xf numFmtId="169" fontId="4" fillId="5" borderId="1" applyAlignment="1" pivotButton="0" quotePrefix="0" xfId="0">
      <alignment horizontal="center"/>
    </xf>
    <xf numFmtId="169" fontId="6" fillId="0" borderId="0" applyAlignment="1" pivotButton="0" quotePrefix="0" xfId="0">
      <alignment horizontal="center"/>
    </xf>
    <xf numFmtId="164" fontId="4" fillId="5" borderId="1" applyAlignment="1" pivotButton="0" quotePrefix="0" xfId="0">
      <alignment horizontal="center"/>
    </xf>
    <xf numFmtId="164" fontId="18" fillId="0" borderId="0" applyAlignment="1" pivotButton="0" quotePrefix="0" xfId="0">
      <alignment horizontal="center"/>
    </xf>
    <xf numFmtId="166" fontId="6" fillId="0" borderId="0" applyAlignment="1" pivotButton="0" quotePrefix="0" xfId="0">
      <alignment horizontal="center"/>
    </xf>
    <xf numFmtId="0" fontId="19" fillId="2" borderId="0" applyAlignment="1" pivotButton="0" quotePrefix="0" xfId="0">
      <alignment horizontal="left" vertical="center" indent="1"/>
    </xf>
    <xf numFmtId="0" fontId="14" fillId="6" borderId="1" applyAlignment="1" pivotButton="0" quotePrefix="0" xfId="0">
      <alignment horizontal="left" vertical="center" wrapText="1" indent="1"/>
    </xf>
  </cellXfs>
  <cellStyles count="1">
    <cellStyle name="Normal" xfId="0" builtinId="0" hidden="0"/>
  </cellStyles>
  <dxfs count="86">
    <dxf>
      <fill>
        <patternFill patternType="solid">
          <fgColor rgb="00FFD9D9"/>
        </patternFill>
      </fill>
    </dxf>
    <dxf>
      <numFmt numFmtId="201" formatCode="$#,##0"/>
    </dxf>
    <dxf>
      <numFmt numFmtId="202" formatCode="$#,##0.00"/>
    </dxf>
    <dxf>
      <numFmt numFmtId="203" formatCode="$#,##0"/>
    </dxf>
    <dxf>
      <numFmt numFmtId="204" formatCode="$#,##0.00"/>
    </dxf>
    <dxf>
      <numFmt numFmtId="205" formatCode="$#,##0"/>
    </dxf>
    <dxf>
      <numFmt numFmtId="206" formatCode="$#,##0.00"/>
    </dxf>
    <dxf>
      <numFmt numFmtId="207" formatCode="$#,##0"/>
    </dxf>
    <dxf>
      <numFmt numFmtId="208" formatCode="$#,##0.00"/>
    </dxf>
    <dxf>
      <numFmt numFmtId="209" formatCode="$#,##0"/>
    </dxf>
    <dxf>
      <numFmt numFmtId="210" formatCode="$#,##0.00"/>
    </dxf>
    <dxf>
      <numFmt numFmtId="211" formatCode="$#,##0"/>
    </dxf>
    <dxf>
      <numFmt numFmtId="212" formatCode="$#,##0.00"/>
    </dxf>
    <dxf>
      <numFmt numFmtId="213" formatCode="$#,##0"/>
    </dxf>
    <dxf>
      <numFmt numFmtId="214" formatCode="$#,##0.00"/>
    </dxf>
    <dxf>
      <numFmt numFmtId="215" formatCode="$#,##0"/>
    </dxf>
    <dxf>
      <numFmt numFmtId="216" formatCode="$#,##0.00"/>
    </dxf>
    <dxf>
      <numFmt numFmtId="217" formatCode="$#,##0"/>
    </dxf>
    <dxf>
      <numFmt numFmtId="218" formatCode="$#,##0.00"/>
    </dxf>
    <dxf>
      <numFmt numFmtId="219" formatCode="$#,##0"/>
    </dxf>
    <dxf>
      <numFmt numFmtId="220" formatCode="$#,##0.00"/>
    </dxf>
    <dxf>
      <numFmt numFmtId="221" formatCode="$#,##0"/>
    </dxf>
    <dxf>
      <numFmt numFmtId="222" formatCode="$#,##0.00"/>
    </dxf>
    <dxf>
      <numFmt numFmtId="223" formatCode="$#,##0"/>
    </dxf>
    <dxf>
      <numFmt numFmtId="224" formatCode="$#,##0.00"/>
    </dxf>
    <dxf>
      <numFmt numFmtId="225" formatCode="$#,##0"/>
    </dxf>
    <dxf>
      <numFmt numFmtId="226" formatCode="$#,##0.00"/>
    </dxf>
    <dxf>
      <numFmt numFmtId="227" formatCode="$#,##0"/>
    </dxf>
    <dxf>
      <numFmt numFmtId="228" formatCode="$#,##0.00"/>
    </dxf>
    <dxf>
      <numFmt numFmtId="229" formatCode="$#,##0"/>
    </dxf>
    <dxf>
      <numFmt numFmtId="230" formatCode="$#,##0.00"/>
    </dxf>
    <dxf>
      <numFmt numFmtId="231" formatCode="$#,##0"/>
    </dxf>
    <dxf>
      <numFmt numFmtId="232" formatCode="$#,##0"/>
    </dxf>
    <dxf>
      <numFmt numFmtId="233" formatCode="$#,##0"/>
    </dxf>
    <dxf>
      <numFmt numFmtId="234" formatCode="$#,##0"/>
    </dxf>
    <dxf>
      <numFmt numFmtId="235" formatCode="$#,##0"/>
    </dxf>
    <dxf>
      <numFmt numFmtId="236" formatCode="$#,##0"/>
    </dxf>
    <dxf>
      <numFmt numFmtId="237" formatCode="$#,##0"/>
    </dxf>
    <dxf>
      <numFmt numFmtId="238" formatCode="$#,##0"/>
    </dxf>
    <dxf>
      <numFmt numFmtId="239" formatCode="$#,##0"/>
    </dxf>
    <dxf>
      <numFmt numFmtId="240" formatCode="$#,##0"/>
    </dxf>
    <dxf>
      <numFmt numFmtId="241" formatCode="$#,##0"/>
    </dxf>
    <dxf>
      <numFmt numFmtId="242" formatCode="$#,##0"/>
    </dxf>
    <dxf>
      <numFmt numFmtId="243" formatCode="$#,##0"/>
    </dxf>
    <dxf>
      <numFmt numFmtId="244" formatCode="$#,##0"/>
    </dxf>
    <dxf>
      <numFmt numFmtId="245" formatCode="$#,##0"/>
    </dxf>
    <dxf>
      <numFmt numFmtId="246" formatCode="$#,##0"/>
    </dxf>
    <dxf>
      <numFmt numFmtId="247" formatCode="$#,##0"/>
    </dxf>
    <dxf>
      <numFmt numFmtId="248" formatCode="$#,##0"/>
    </dxf>
    <dxf>
      <numFmt numFmtId="249" formatCode="$#,##0"/>
    </dxf>
    <dxf>
      <numFmt numFmtId="250" formatCode="$#,##0"/>
    </dxf>
    <dxf>
      <numFmt numFmtId="251" formatCode="$#,##0"/>
    </dxf>
    <dxf>
      <numFmt numFmtId="252" formatCode="$#,##0"/>
    </dxf>
    <dxf>
      <numFmt numFmtId="253" formatCode="$#,##0"/>
    </dxf>
    <dxf>
      <numFmt numFmtId="254" formatCode="$#,##0"/>
    </dxf>
    <dxf>
      <numFmt numFmtId="255" formatCode="$#,##0"/>
    </dxf>
    <dxf>
      <numFmt numFmtId="256" formatCode="$#,##0"/>
    </dxf>
    <dxf>
      <numFmt numFmtId="257" formatCode="$#,##0"/>
    </dxf>
    <dxf>
      <numFmt numFmtId="258" formatCode="$#,##0"/>
    </dxf>
    <dxf>
      <numFmt numFmtId="259" formatCode="$#,##0"/>
    </dxf>
    <dxf>
      <numFmt numFmtId="260" formatCode="$#,##0"/>
    </dxf>
    <dxf>
      <numFmt numFmtId="261" formatCode="$#,##0"/>
    </dxf>
    <dxf>
      <numFmt numFmtId="262" formatCode="$#,##0"/>
    </dxf>
    <dxf>
      <numFmt numFmtId="263" formatCode="$#,##0"/>
    </dxf>
    <dxf>
      <numFmt numFmtId="264" formatCode="$#,##0"/>
    </dxf>
    <dxf>
      <numFmt numFmtId="265" formatCode="$#,##0"/>
    </dxf>
    <dxf>
      <numFmt numFmtId="266" formatCode="$#,##0.00"/>
    </dxf>
    <dxf>
      <numFmt numFmtId="267" formatCode="$#,##0"/>
    </dxf>
    <dxf>
      <numFmt numFmtId="268" formatCode="$#,##0"/>
    </dxf>
    <dxf>
      <numFmt numFmtId="269" formatCode="$#,##0.00"/>
    </dxf>
    <dxf>
      <numFmt numFmtId="270" formatCode="$#,##0"/>
    </dxf>
    <dxf>
      <numFmt numFmtId="271" formatCode="$#,##0"/>
    </dxf>
    <dxf>
      <numFmt numFmtId="272" formatCode="$#,##0.00"/>
    </dxf>
    <dxf>
      <numFmt numFmtId="273" formatCode="$#,##0"/>
    </dxf>
    <dxf>
      <numFmt numFmtId="274" formatCode="$#,##0"/>
    </dxf>
    <dxf>
      <numFmt numFmtId="275" formatCode="$#,##0"/>
    </dxf>
    <dxf>
      <numFmt numFmtId="276" formatCode="$#,##0"/>
    </dxf>
    <dxf>
      <numFmt numFmtId="277" formatCode="$#,##0"/>
    </dxf>
    <dxf>
      <numFmt numFmtId="278" formatCode="$#,##0"/>
    </dxf>
    <dxf>
      <numFmt numFmtId="279" formatCode="$#,##0"/>
    </dxf>
    <dxf>
      <numFmt numFmtId="280" formatCode="$#,##0"/>
    </dxf>
    <dxf>
      <numFmt numFmtId="281" formatCode="$#,##0"/>
    </dxf>
    <dxf>
      <numFmt numFmtId="282" formatCode="$#,##0"/>
    </dxf>
    <dxf>
      <numFmt numFmtId="283" formatCode="$#,##0"/>
    </dxf>
    <dxf>
      <numFmt numFmtId="284" formatCode="$#,##0"/>
    </dxf>
    <dxf>
      <numFmt numFmtId="285" formatCode="$#,##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plotArea>
      <barChart>
        <barDir val="col"/>
        <grouping val="stacked"/>
        <ser>
          <idx val="0"/>
          <order val="0"/>
          <tx>
            <v>Sayzio (Link-in-Bio, QR &amp; Short Links)</v>
          </tx>
          <spPr>
            <a:ln xmlns:a="http://schemas.openxmlformats.org/drawingml/2006/main">
              <a:prstDash val="solid"/>
            </a:ln>
          </spPr>
          <cat>
            <numRef>
              <f>'Monthly Plan'!$B$4:$M$4</f>
            </numRef>
          </cat>
          <val>
            <numRef>
              <f>'Monthly Plan'!$B$7:$M$7</f>
            </numRef>
          </val>
        </ser>
        <ser>
          <idx val="1"/>
          <order val="1"/>
          <tx>
            <v>Instagram Ads</v>
          </tx>
          <spPr>
            <a:ln xmlns:a="http://schemas.openxmlformats.org/drawingml/2006/main">
              <a:prstDash val="solid"/>
            </a:ln>
          </spPr>
          <cat>
            <numRef>
              <f>'Monthly Plan'!$B$4:$M$4</f>
            </numRef>
          </cat>
          <val>
            <numRef>
              <f>'Monthly Plan'!$B$14:$M$14</f>
            </numRef>
          </val>
        </ser>
        <ser>
          <idx val="2"/>
          <order val="2"/>
          <tx>
            <v>Facebook Ads</v>
          </tx>
          <spPr>
            <a:ln xmlns:a="http://schemas.openxmlformats.org/drawingml/2006/main">
              <a:prstDash val="solid"/>
            </a:ln>
          </spPr>
          <cat>
            <numRef>
              <f>'Monthly Plan'!$B$4:$M$4</f>
            </numRef>
          </cat>
          <val>
            <numRef>
              <f>'Monthly Plan'!$B$21:$M$21</f>
            </numRef>
          </val>
        </ser>
        <ser>
          <idx val="3"/>
          <order val="3"/>
          <tx>
            <v>WhatsApp Business</v>
          </tx>
          <spPr>
            <a:ln xmlns:a="http://schemas.openxmlformats.org/drawingml/2006/main">
              <a:prstDash val="solid"/>
            </a:ln>
          </spPr>
          <cat>
            <numRef>
              <f>'Monthly Plan'!$B$4:$M$4</f>
            </numRef>
          </cat>
          <val>
            <numRef>
              <f>'Monthly Plan'!$B$28:$M$28</f>
            </numRef>
          </val>
        </ser>
        <ser>
          <idx val="4"/>
          <order val="4"/>
          <tx>
            <v>Twitter/X Ads</v>
          </tx>
          <spPr>
            <a:ln xmlns:a="http://schemas.openxmlformats.org/drawingml/2006/main">
              <a:prstDash val="solid"/>
            </a:ln>
          </spPr>
          <cat>
            <numRef>
              <f>'Monthly Plan'!$B$4:$M$4</f>
            </numRef>
          </cat>
          <val>
            <numRef>
              <f>'Monthly Plan'!$B$35:$M$35</f>
            </numRef>
          </val>
        </ser>
        <ser>
          <idx val="5"/>
          <order val="5"/>
          <tx>
            <v>LinkedIn Ads</v>
          </tx>
          <spPr>
            <a:ln xmlns:a="http://schemas.openxmlformats.org/drawingml/2006/main">
              <a:prstDash val="solid"/>
            </a:ln>
          </spPr>
          <cat>
            <numRef>
              <f>'Monthly Plan'!$B$4:$M$4</f>
            </numRef>
          </cat>
          <val>
            <numRef>
              <f>'Monthly Plan'!$B$42:$M$42</f>
            </numRef>
          </val>
        </ser>
        <ser>
          <idx val="6"/>
          <order val="6"/>
          <tx>
            <v>Google Display &amp; Discovery</v>
          </tx>
          <spPr>
            <a:ln xmlns:a="http://schemas.openxmlformats.org/drawingml/2006/main">
              <a:prstDash val="solid"/>
            </a:ln>
          </spPr>
          <cat>
            <numRef>
              <f>'Monthly Plan'!$B$4:$M$4</f>
            </numRef>
          </cat>
          <val>
            <numRef>
              <f>'Monthly Plan'!$B$49:$M$49</f>
            </numRef>
          </val>
        </ser>
        <ser>
          <idx val="7"/>
          <order val="7"/>
          <tx>
            <v>YouTube Ads</v>
          </tx>
          <spPr>
            <a:ln xmlns:a="http://schemas.openxmlformats.org/drawingml/2006/main">
              <a:prstDash val="solid"/>
            </a:ln>
          </spPr>
          <cat>
            <numRef>
              <f>'Monthly Plan'!$B$4:$M$4</f>
            </numRef>
          </cat>
          <val>
            <numRef>
              <f>'Monthly Plan'!$B$56:$M$56</f>
            </numRef>
          </val>
        </ser>
        <ser>
          <idx val="8"/>
          <order val="8"/>
          <tx>
            <v>Amazon Ads</v>
          </tx>
          <spPr>
            <a:ln xmlns:a="http://schemas.openxmlformats.org/drawingml/2006/main">
              <a:prstDash val="solid"/>
            </a:ln>
          </spPr>
          <cat>
            <numRef>
              <f>'Monthly Plan'!$B$4:$M$4</f>
            </numRef>
          </cat>
          <val>
            <numRef>
              <f>'Monthly Plan'!$B$63:$M$63</f>
            </numRef>
          </val>
        </ser>
        <ser>
          <idx val="9"/>
          <order val="9"/>
          <tx>
            <v>Other Social/Display</v>
          </tx>
          <spPr>
            <a:ln xmlns:a="http://schemas.openxmlformats.org/drawingml/2006/main">
              <a:prstDash val="solid"/>
            </a:ln>
          </spPr>
          <cat>
            <numRef>
              <f>'Monthly Plan'!$B$4:$M$4</f>
            </numRef>
          </cat>
          <val>
            <numRef>
              <f>'Monthly Plan'!$B$70:$M$70</f>
            </numRef>
          </val>
        </ser>
        <ser>
          <idx val="10"/>
          <order val="10"/>
          <tx>
            <v>Paid Search (Google Ads)</v>
          </tx>
          <spPr>
            <a:ln xmlns:a="http://schemas.openxmlformats.org/drawingml/2006/main">
              <a:prstDash val="solid"/>
            </a:ln>
          </spPr>
          <cat>
            <numRef>
              <f>'Monthly Plan'!$B$4:$M$4</f>
            </numRef>
          </cat>
          <val>
            <numRef>
              <f>'Monthly Plan'!$B$77:$M$77</f>
            </numRef>
          </val>
        </ser>
        <ser>
          <idx val="11"/>
          <order val="11"/>
          <tx>
            <v>SEO &amp; Content Marketing</v>
          </tx>
          <spPr>
            <a:ln xmlns:a="http://schemas.openxmlformats.org/drawingml/2006/main">
              <a:prstDash val="solid"/>
            </a:ln>
          </spPr>
          <cat>
            <numRef>
              <f>'Monthly Plan'!$B$4:$M$4</f>
            </numRef>
          </cat>
          <val>
            <numRef>
              <f>'Monthly Plan'!$B$84:$M$84</f>
            </numRef>
          </val>
        </ser>
        <ser>
          <idx val="12"/>
          <order val="12"/>
          <tx>
            <v>Email Marketing</v>
          </tx>
          <spPr>
            <a:ln xmlns:a="http://schemas.openxmlformats.org/drawingml/2006/main">
              <a:prstDash val="solid"/>
            </a:ln>
          </spPr>
          <cat>
            <numRef>
              <f>'Monthly Plan'!$B$4:$M$4</f>
            </numRef>
          </cat>
          <val>
            <numRef>
              <f>'Monthly Plan'!$B$91:$M$91</f>
            </numRef>
          </val>
        </ser>
        <ser>
          <idx val="13"/>
          <order val="13"/>
          <tx>
            <v>Influencer &amp; Affiliate Marketing</v>
          </tx>
          <spPr>
            <a:ln xmlns:a="http://schemas.openxmlformats.org/drawingml/2006/main">
              <a:prstDash val="solid"/>
            </a:ln>
          </spPr>
          <cat>
            <numRef>
              <f>'Monthly Plan'!$B$4:$M$4</f>
            </numRef>
          </cat>
          <val>
            <numRef>
              <f>'Monthly Plan'!$B$98:$M$98</f>
            </numRef>
          </val>
        </ser>
        <ser>
          <idx val="14"/>
          <order val="14"/>
          <tx>
            <v>Events &amp; Webinars</v>
          </tx>
          <spPr>
            <a:ln xmlns:a="http://schemas.openxmlformats.org/drawingml/2006/main">
              <a:prstDash val="solid"/>
            </a:ln>
          </spPr>
          <cat>
            <numRef>
              <f>'Monthly Plan'!$B$4:$M$4</f>
            </numRef>
          </cat>
          <val>
            <numRef>
              <f>'Monthly Plan'!$B$105:$M$105</f>
            </numRef>
          </val>
        </ser>
        <ser>
          <idx val="15"/>
          <order val="15"/>
          <tx>
            <v>PR &amp; Media Outreach</v>
          </tx>
          <spPr>
            <a:ln xmlns:a="http://schemas.openxmlformats.org/drawingml/2006/main">
              <a:prstDash val="solid"/>
            </a:ln>
          </spPr>
          <cat>
            <numRef>
              <f>'Monthly Plan'!$B$4:$M$4</f>
            </numRef>
          </cat>
          <val>
            <numRef>
              <f>'Monthly Plan'!$B$112:$M$112</f>
            </numRef>
          </val>
        </ser>
        <gapWidth val="150"/>
        <overlap val="100"/>
        <axId val="10"/>
        <axId val="100"/>
      </barChart>
      <catAx>
        <axId val="10"/>
        <scaling>
          <orientation val="minMax"/>
        </scaling>
        <delete val="0"/>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Spend (₹)</a:t>
                </a:r>
              </a:p>
            </rich>
          </tx>
        </title>
        <numFmt formatCode="₹#,##0" sourceLinked="0"/>
        <majorTickMark val="none"/>
        <minorTickMark val="none"/>
        <crossAx val="10"/>
      </valAx>
    </plotArea>
    <legend>
      <legendPos val="b"/>
      <overlay val="0"/>
    </legend>
    <plotVisOnly val="1"/>
    <dispBlanksAs val="gap"/>
  </chart>
</chartSpace>
</file>

<file path=xl/charts/chart2.xml><?xml version="1.0" encoding="utf-8"?>
<chartSpace xmlns="http://schemas.openxmlformats.org/drawingml/2006/chart">
  <style val="12"/>
  <chart>
    <plotArea>
      <lineChart>
        <grouping val="standard"/>
        <ser>
          <idx val="0"/>
          <order val="0"/>
          <tx>
            <v>Total Revenue</v>
          </tx>
          <spPr>
            <a:ln xmlns:a="http://schemas.openxmlformats.org/drawingml/2006/main">
              <a:prstDash val="solid"/>
            </a:ln>
          </spPr>
          <marker>
            <symbol val="none"/>
            <spPr>
              <a:ln xmlns:a="http://schemas.openxmlformats.org/drawingml/2006/main">
                <a:prstDash val="solid"/>
              </a:ln>
            </spPr>
          </marker>
          <cat>
            <numRef>
              <f>'Monthly Plan'!$B$4:$M$4</f>
            </numRef>
          </cat>
          <val>
            <numRef>
              <f>'Monthly Plan'!$B$123:$M$123</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Revenue (₹)</a:t>
                </a:r>
              </a:p>
            </rich>
          </tx>
        </title>
        <numFmt formatCode="₹#,##0" sourceLinked="0"/>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plotArea>
      <pieChart>
        <varyColors val="1"/>
        <ser>
          <idx val="0"/>
          <order val="0"/>
          <spPr>
            <a:ln xmlns:a="http://schemas.openxmlformats.org/drawingml/2006/main">
              <a:prstDash val="solid"/>
            </a:ln>
          </spPr>
          <cat>
            <numRef>
              <f>'Dashboard'!$A$61:$A$76</f>
            </numRef>
          </cat>
          <val>
            <numRef>
              <f>'Dashboard'!$B$61:$B$76</f>
            </numRef>
          </val>
        </ser>
        <dLbls>
          <showLegendKey val="0"/>
          <showVal val="0"/>
          <showCatName val="0"/>
          <showSerName val="0"/>
          <showPercent val="1"/>
        </dLbls>
        <firstSliceAng val="0"/>
      </pieChart>
    </plotArea>
    <legend>
      <legendPos val="r"/>
    </legend>
    <plotVisOnly val="1"/>
    <dispBlanksAs val="gap"/>
  </chart>
</chartSpace>
</file>

<file path=xl/charts/chart4.xml><?xml version="1.0" encoding="utf-8"?>
<chartSpace xmlns="http://schemas.openxmlformats.org/drawingml/2006/chart">
  <style val="11"/>
  <chart>
    <plotArea>
      <barChart>
        <barDir val="bar"/>
        <grouping val="clustered"/>
        <ser>
          <idx val="0"/>
          <order val="0"/>
          <spPr>
            <a:ln xmlns:a="http://schemas.openxmlformats.org/drawingml/2006/main">
              <a:prstDash val="solid"/>
            </a:ln>
          </spPr>
          <cat>
            <numRef>
              <f>'Dashboard'!$A$61:$A$76</f>
            </numRef>
          </cat>
          <val>
            <numRef>
              <f>'Dashboard'!$E$61:$E$76</f>
            </numRef>
          </val>
        </ser>
        <dLbls>
          <numFmt formatCode="₹#,##0"/>
          <dLblPos val="outEnd"/>
          <showLegendKey val="0"/>
          <showVal val="1"/>
          <showCatName val="0"/>
          <showSerName val="0"/>
        </dLbls>
        <gapWidth val="150"/>
        <axId val="10"/>
        <axId val="100"/>
      </barChart>
      <catAx>
        <axId val="10"/>
        <scaling>
          <orientation val="minMax"/>
        </scaling>
        <delete val="0"/>
        <axPos val="l"/>
        <title>
          <tx>
            <rich>
              <a:bodyPr xmlns:a="http://schemas.openxmlformats.org/drawingml/2006/main"/>
              <a:p xmlns:a="http://schemas.openxmlformats.org/drawingml/2006/main">
                <a:pPr>
                  <a:defRPr/>
                </a:pPr>
                <a:r>
                  <a:t>CAC (₹)</a:t>
                </a:r>
              </a:p>
            </rich>
          </tx>
        </title>
        <numFmt formatCode="₹#,##0" sourceLinked="0"/>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11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38</row>
      <rowOff>0</rowOff>
    </from>
    <ext cx="936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79</row>
      <rowOff>0</rowOff>
    </from>
    <ext cx="936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101</row>
      <rowOff>0</rowOff>
    </from>
    <ext cx="9360000" cy="36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78"/>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30"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22" customHeight="1">
      <c r="A1" s="1" t="inlineStr">
        <is>
          <t>SAYZIO-POWERED DIGITAL MARKETING PLAN — 12-MONTH ASSUMPTIONS</t>
        </is>
      </c>
    </row>
    <row r="2" ht="18" customHeight="1">
      <c r="A2" s="2" t="inlineStr">
        <is>
          <t>Blue text = editable input.  Black text = formula (do not edit).  Yellow-highlighted cells need your attention.</t>
        </is>
      </c>
    </row>
    <row r="4">
      <c r="A4" s="3" t="inlineStr">
        <is>
          <t>Company / Product Name</t>
        </is>
      </c>
      <c r="B4" s="4" t="inlineStr">
        <is>
          <t>Acme Fitness App</t>
        </is>
      </c>
    </row>
    <row r="5">
      <c r="A5" s="3" t="inlineStr">
        <is>
          <t>Total Annual Ad-Spend Budget (₹) — paid channels only, excludes Sayzio's fixed cost</t>
        </is>
      </c>
      <c r="B5" s="5" t="n">
        <v>180000</v>
      </c>
    </row>
    <row r="6">
      <c r="A6" s="6" t="inlineStr">
        <is>
          <t>Planning Period</t>
        </is>
      </c>
      <c r="B6" s="7" t="inlineStr">
        <is>
          <t>12 Months</t>
        </is>
      </c>
    </row>
    <row r="8" ht="20" customHeight="1">
      <c r="A8" s="8" t="inlineStr">
        <is>
          <t>MONTHLY SEASONALITY WEIGHTS  (1.0 = average month — raise for peak season, lower for slow months)</t>
        </is>
      </c>
    </row>
    <row r="9">
      <c r="A9" s="9" t="inlineStr">
        <is>
          <t>Month</t>
        </is>
      </c>
      <c r="B9" s="10" t="inlineStr">
        <is>
          <t>Jan</t>
        </is>
      </c>
      <c r="C9" s="10" t="inlineStr">
        <is>
          <t>Feb</t>
        </is>
      </c>
      <c r="D9" s="10" t="inlineStr">
        <is>
          <t>Mar</t>
        </is>
      </c>
      <c r="E9" s="10" t="inlineStr">
        <is>
          <t>Apr</t>
        </is>
      </c>
      <c r="F9" s="10" t="inlineStr">
        <is>
          <t>May</t>
        </is>
      </c>
      <c r="G9" s="10" t="inlineStr">
        <is>
          <t>Jun</t>
        </is>
      </c>
      <c r="H9" s="10" t="inlineStr">
        <is>
          <t>Jul</t>
        </is>
      </c>
      <c r="I9" s="10" t="inlineStr">
        <is>
          <t>Aug</t>
        </is>
      </c>
      <c r="J9" s="10" t="inlineStr">
        <is>
          <t>Sep</t>
        </is>
      </c>
      <c r="K9" s="10" t="inlineStr">
        <is>
          <t>Oct</t>
        </is>
      </c>
      <c r="L9" s="10" t="inlineStr">
        <is>
          <t>Nov</t>
        </is>
      </c>
      <c r="M9" s="10" t="inlineStr">
        <is>
          <t>Dec</t>
        </is>
      </c>
      <c r="N9" s="10" t="inlineStr">
        <is>
          <t>Total</t>
        </is>
      </c>
    </row>
    <row r="10">
      <c r="A10" s="9" t="inlineStr">
        <is>
          <t>Weight</t>
        </is>
      </c>
      <c r="B10" s="11" t="n">
        <v>1</v>
      </c>
      <c r="C10" s="11" t="n">
        <v>1</v>
      </c>
      <c r="D10" s="11" t="n">
        <v>1</v>
      </c>
      <c r="E10" s="11" t="n">
        <v>1</v>
      </c>
      <c r="F10" s="11" t="n">
        <v>1</v>
      </c>
      <c r="G10" s="11" t="n">
        <v>1</v>
      </c>
      <c r="H10" s="11" t="n">
        <v>1</v>
      </c>
      <c r="I10" s="11" t="n">
        <v>1</v>
      </c>
      <c r="J10" s="11" t="n">
        <v>1</v>
      </c>
      <c r="K10" s="11" t="n">
        <v>1</v>
      </c>
      <c r="L10" s="11" t="n">
        <v>1</v>
      </c>
      <c r="M10" s="11" t="n">
        <v>1</v>
      </c>
      <c r="N10" s="12">
        <f>SUM(B10:M10)</f>
        <v/>
      </c>
    </row>
    <row r="12" ht="20" customHeight="1">
      <c r="A12" s="8" t="inlineStr">
        <is>
          <t>SAYZIO PLAN SELECTION</t>
        </is>
      </c>
    </row>
    <row r="13">
      <c r="A13" s="3" t="inlineStr">
        <is>
          <t>Selected Sayzio Plan</t>
        </is>
      </c>
      <c r="B13" s="13" t="inlineStr">
        <is>
          <t>Professional</t>
        </is>
      </c>
    </row>
    <row r="14">
      <c r="A14" s="3" t="inlineStr">
        <is>
          <t>Monthly Subscription Cost</t>
        </is>
      </c>
      <c r="B14" s="14">
        <f>IFERROR(INDEX($B$39:$B$47,MATCH($B$13,$A$39:$A$47,0)),0)</f>
        <v/>
      </c>
      <c r="C14" s="15">
        <f>IFERROR(INDEX($C$39:$C$47,MATCH($B$13,$A$39:$A$47,0)),0)</f>
        <v/>
      </c>
      <c r="D14" s="16" t="inlineStr">
        <is>
          <t>(INR in B, USD in C)</t>
        </is>
      </c>
    </row>
    <row r="15">
      <c r="A15" s="16" t="inlineStr">
        <is>
          <t>This is a FIXED monthly subscription — NOT a % of your ad budget. See Sayzio's row in Channel Assumptions below and the Sayzio Fixed Cost &amp; Organic Traffic section further down.</t>
        </is>
      </c>
    </row>
    <row r="17" ht="20" customHeight="1">
      <c r="A17" s="8" t="inlineStr">
        <is>
          <t>CHANNEL ASSUMPTIONS</t>
        </is>
      </c>
    </row>
    <row r="18" ht="30" customHeight="1">
      <c r="A18" s="17" t="inlineStr">
        <is>
          <t>Channel</t>
        </is>
      </c>
      <c r="B18" s="17" t="inlineStr">
        <is>
          <t>Budget Allocation %</t>
        </is>
      </c>
      <c r="C18" s="17" t="inlineStr">
        <is>
          <t>Cost per Visitor (₹)</t>
        </is>
      </c>
      <c r="D18" s="17" t="inlineStr">
        <is>
          <t>Visitor → Lead Rate %</t>
        </is>
      </c>
      <c r="E18" s="17" t="inlineStr">
        <is>
          <t>Lead → Customer Rate %</t>
        </is>
      </c>
      <c r="F18" s="17" t="inlineStr">
        <is>
          <t>Avg Customer Value (₹)</t>
        </is>
      </c>
      <c r="G18" s="17" t="inlineStr">
        <is>
          <t>Notes</t>
        </is>
      </c>
      <c r="H18" s="17" t="inlineStr">
        <is>
          <t>Cost/Visitor (Display)</t>
        </is>
      </c>
      <c r="I18" s="17" t="inlineStr">
        <is>
          <t>Avg Cust. Value (Display)</t>
        </is>
      </c>
    </row>
    <row r="19" ht="16" customHeight="1">
      <c r="A19" s="18" t="inlineStr">
        <is>
          <t>Sayzio (Link-in-Bio, QR &amp; Short Links)</t>
        </is>
      </c>
      <c r="B19" s="19" t="inlineStr">
        <is>
          <t>Fixed Cost</t>
        </is>
      </c>
      <c r="C19" s="19" t="inlineStr">
        <is>
          <t>N/A</t>
        </is>
      </c>
      <c r="D19" s="20" t="n">
        <v>0.05</v>
      </c>
      <c r="E19" s="20" t="n">
        <v>0.15</v>
      </c>
      <c r="F19" s="21" t="n">
        <v>120000</v>
      </c>
      <c r="G19" s="22" t="inlineStr">
        <is>
          <t>Fixed monthly subscription (see Sayzio Fixed Cost &amp; Organic Traffic section below) — driven by owned/organic bio-page, QR &amp; short-link traffic, not ad spend</t>
        </is>
      </c>
      <c r="H19" s="23" t="inlineStr">
        <is>
          <t>N/A</t>
        </is>
      </c>
      <c r="I19" s="24">
        <f>F19*$B$59</f>
        <v/>
      </c>
    </row>
    <row r="20" ht="16" customHeight="1">
      <c r="A20" s="18" t="inlineStr">
        <is>
          <t>Instagram Ads</t>
        </is>
      </c>
      <c r="B20" s="20" t="n">
        <v>0.055</v>
      </c>
      <c r="C20" s="25" t="n">
        <v>800</v>
      </c>
      <c r="D20" s="20" t="n">
        <v>0.09</v>
      </c>
      <c r="E20" s="20" t="n">
        <v>0.22</v>
      </c>
      <c r="F20" s="21" t="n">
        <v>120000</v>
      </c>
      <c r="G20" s="22" t="inlineStr">
        <is>
          <t>Reels/Stories/Feed ads — younger demographic, high engagement</t>
        </is>
      </c>
      <c r="H20" s="26">
        <f>C20*$B$59</f>
        <v/>
      </c>
      <c r="I20" s="24">
        <f>F20*$B$59</f>
        <v/>
      </c>
    </row>
    <row r="21" ht="16" customHeight="1">
      <c r="A21" s="18" t="inlineStr">
        <is>
          <t>Facebook Ads</t>
        </is>
      </c>
      <c r="B21" s="20" t="n">
        <v>0.045</v>
      </c>
      <c r="C21" s="25" t="n">
        <v>900</v>
      </c>
      <c r="D21" s="20" t="n">
        <v>0.08</v>
      </c>
      <c r="E21" s="20" t="n">
        <v>0.24</v>
      </c>
      <c r="F21" s="21" t="n">
        <v>120000</v>
      </c>
      <c r="G21" s="22" t="inlineStr">
        <is>
          <t>Broadest reach across age groups, strong retargeting</t>
        </is>
      </c>
      <c r="H21" s="26">
        <f>C21*$B$59</f>
        <v/>
      </c>
      <c r="I21" s="24">
        <f>F21*$B$59</f>
        <v/>
      </c>
    </row>
    <row r="22" ht="16" customHeight="1">
      <c r="A22" s="18" t="inlineStr">
        <is>
          <t>WhatsApp Business</t>
        </is>
      </c>
      <c r="B22" s="20" t="n">
        <v>0.02</v>
      </c>
      <c r="C22" s="25" t="n">
        <v>500</v>
      </c>
      <c r="D22" s="20" t="n">
        <v>0.12</v>
      </c>
      <c r="E22" s="20" t="n">
        <v>0.3</v>
      </c>
      <c r="F22" s="21" t="n">
        <v>120000</v>
      </c>
      <c r="G22" s="22" t="inlineStr">
        <is>
          <t>Click-to-WhatsApp ads &amp; broadcast — high-intent, personal channel</t>
        </is>
      </c>
      <c r="H22" s="26">
        <f>C22*$B$59</f>
        <v/>
      </c>
      <c r="I22" s="24">
        <f>F22*$B$59</f>
        <v/>
      </c>
    </row>
    <row r="23" ht="16" customHeight="1">
      <c r="A23" s="18" t="inlineStr">
        <is>
          <t>Twitter/X Ads</t>
        </is>
      </c>
      <c r="B23" s="20" t="n">
        <v>0.015</v>
      </c>
      <c r="C23" s="25" t="n">
        <v>1000</v>
      </c>
      <c r="D23" s="20" t="n">
        <v>0.06</v>
      </c>
      <c r="E23" s="20" t="n">
        <v>0.18</v>
      </c>
      <c r="F23" s="21" t="n">
        <v>120000</v>
      </c>
      <c r="G23" s="22" t="inlineStr">
        <is>
          <t>Lower-funnel awareness, real-time engagement</t>
        </is>
      </c>
      <c r="H23" s="26">
        <f>C23*$B$59</f>
        <v/>
      </c>
      <c r="I23" s="24">
        <f>F23*$B$59</f>
        <v/>
      </c>
    </row>
    <row r="24" ht="16" customHeight="1">
      <c r="A24" s="18" t="inlineStr">
        <is>
          <t>LinkedIn Ads</t>
        </is>
      </c>
      <c r="B24" s="20" t="n">
        <v>0.025</v>
      </c>
      <c r="C24" s="25" t="n">
        <v>2000</v>
      </c>
      <c r="D24" s="20" t="n">
        <v>0.1</v>
      </c>
      <c r="E24" s="20" t="n">
        <v>0.28</v>
      </c>
      <c r="F24" s="21" t="n">
        <v>120000</v>
      </c>
      <c r="G24" s="22" t="inlineStr">
        <is>
          <t>Higher cost per visitor but strong B2B/professional lead quality</t>
        </is>
      </c>
      <c r="H24" s="26">
        <f>C24*$B$59</f>
        <v/>
      </c>
      <c r="I24" s="24">
        <f>F24*$B$59</f>
        <v/>
      </c>
    </row>
    <row r="25" ht="16" customHeight="1">
      <c r="A25" s="18" t="inlineStr">
        <is>
          <t>Google Display &amp; Discovery</t>
        </is>
      </c>
      <c r="B25" s="20" t="n">
        <v>0.025</v>
      </c>
      <c r="C25" s="25" t="n">
        <v>700</v>
      </c>
      <c r="D25" s="20" t="n">
        <v>0.07000000000000001</v>
      </c>
      <c r="E25" s="20" t="n">
        <v>0.2</v>
      </c>
      <c r="F25" s="21" t="n">
        <v>120000</v>
      </c>
      <c r="G25" s="22" t="inlineStr">
        <is>
          <t>Google's social-style placements — Display Network &amp; Discovery feed (separate from Paid Search below)</t>
        </is>
      </c>
      <c r="H25" s="26">
        <f>C25*$B$59</f>
        <v/>
      </c>
      <c r="I25" s="24">
        <f>F25*$B$59</f>
        <v/>
      </c>
    </row>
    <row r="26" ht="16" customHeight="1">
      <c r="A26" s="18" t="inlineStr">
        <is>
          <t>YouTube Ads</t>
        </is>
      </c>
      <c r="B26" s="20" t="n">
        <v>0.02</v>
      </c>
      <c r="C26" s="25" t="n">
        <v>1100</v>
      </c>
      <c r="D26" s="20" t="n">
        <v>0.06</v>
      </c>
      <c r="E26" s="20" t="n">
        <v>0.19</v>
      </c>
      <c r="F26" s="21" t="n">
        <v>120000</v>
      </c>
      <c r="G26" s="22" t="inlineStr">
        <is>
          <t>Video pre-roll/in-feed — strong for brand storytelling</t>
        </is>
      </c>
      <c r="H26" s="26">
        <f>C26*$B$59</f>
        <v/>
      </c>
      <c r="I26" s="24">
        <f>F26*$B$59</f>
        <v/>
      </c>
    </row>
    <row r="27" ht="16" customHeight="1">
      <c r="A27" s="18" t="inlineStr">
        <is>
          <t>Amazon Ads</t>
        </is>
      </c>
      <c r="B27" s="20" t="n">
        <v>0.01</v>
      </c>
      <c r="C27" s="25" t="n">
        <v>1200</v>
      </c>
      <c r="D27" s="20" t="n">
        <v>0.15</v>
      </c>
      <c r="E27" s="20" t="n">
        <v>0.35</v>
      </c>
      <c r="F27" s="21" t="n">
        <v>120000</v>
      </c>
      <c r="G27" s="22" t="inlineStr">
        <is>
          <t>Sponsored/retail media — shoppers already in purchase mode</t>
        </is>
      </c>
      <c r="H27" s="26">
        <f>C27*$B$59</f>
        <v/>
      </c>
      <c r="I27" s="24">
        <f>F27*$B$59</f>
        <v/>
      </c>
    </row>
    <row r="28" ht="16" customHeight="1">
      <c r="A28" s="18" t="inlineStr">
        <is>
          <t>Other Social/Display</t>
        </is>
      </c>
      <c r="B28" s="20" t="n">
        <v>0.005</v>
      </c>
      <c r="C28" s="25" t="n">
        <v>900</v>
      </c>
      <c r="D28" s="20" t="n">
        <v>0.07000000000000001</v>
      </c>
      <c r="E28" s="20" t="n">
        <v>0.2</v>
      </c>
      <c r="F28" s="21" t="n">
        <v>120000</v>
      </c>
      <c r="G28" s="22" t="inlineStr">
        <is>
          <t>Pinterest, Snapchat, Reddit &amp; other smaller paid placements</t>
        </is>
      </c>
      <c r="H28" s="26">
        <f>C28*$B$59</f>
        <v/>
      </c>
      <c r="I28" s="24">
        <f>F28*$B$59</f>
        <v/>
      </c>
    </row>
    <row r="29" ht="16" customHeight="1">
      <c r="A29" s="18" t="inlineStr">
        <is>
          <t>Paid Search (Google Ads)</t>
        </is>
      </c>
      <c r="B29" s="20" t="n">
        <v>0.17</v>
      </c>
      <c r="C29" s="25" t="n">
        <v>1440</v>
      </c>
      <c r="D29" s="20" t="n">
        <v>0.12</v>
      </c>
      <c r="E29" s="20" t="n">
        <v>0.3</v>
      </c>
      <c r="F29" s="21" t="n">
        <v>120000</v>
      </c>
      <c r="G29" s="22" t="inlineStr">
        <is>
          <t>High-intent search traffic, best close rate</t>
        </is>
      </c>
      <c r="H29" s="26">
        <f>C29*$B$59</f>
        <v/>
      </c>
      <c r="I29" s="24">
        <f>F29*$B$59</f>
        <v/>
      </c>
    </row>
    <row r="30" ht="16" customHeight="1">
      <c r="A30" s="18" t="inlineStr">
        <is>
          <t>SEO &amp; Content Marketing</t>
        </is>
      </c>
      <c r="B30" s="20" t="n">
        <v>0.17</v>
      </c>
      <c r="C30" s="25" t="n">
        <v>160</v>
      </c>
      <c r="D30" s="20" t="n">
        <v>0.04</v>
      </c>
      <c r="E30" s="20" t="n">
        <v>0.2</v>
      </c>
      <c r="F30" s="21" t="n">
        <v>120000</v>
      </c>
      <c r="G30" s="22" t="inlineStr">
        <is>
          <t>Blog, on-page SEO, backlinks — slower ramp, compounding</t>
        </is>
      </c>
      <c r="H30" s="26">
        <f>C30*$B$59</f>
        <v/>
      </c>
      <c r="I30" s="24">
        <f>F30*$B$59</f>
        <v/>
      </c>
    </row>
    <row r="31" ht="16" customHeight="1">
      <c r="A31" s="18" t="inlineStr">
        <is>
          <t>Email Marketing</t>
        </is>
      </c>
      <c r="B31" s="20" t="n">
        <v>0.11</v>
      </c>
      <c r="C31" s="25" t="n">
        <v>40</v>
      </c>
      <c r="D31" s="20" t="n">
        <v>0.05</v>
      </c>
      <c r="E31" s="20" t="n">
        <v>0.125</v>
      </c>
      <c r="F31" s="21" t="n">
        <v>120000</v>
      </c>
      <c r="G31" s="22" t="inlineStr">
        <is>
          <t>Owned list — newsletters, lifecycle &amp; promo sends</t>
        </is>
      </c>
      <c r="H31" s="26">
        <f>C31*$B$59</f>
        <v/>
      </c>
      <c r="I31" s="24">
        <f>F31*$B$59</f>
        <v/>
      </c>
    </row>
    <row r="32" ht="16" customHeight="1">
      <c r="A32" s="18" t="inlineStr">
        <is>
          <t>Influencer &amp; Affiliate Marketing</t>
        </is>
      </c>
      <c r="B32" s="20" t="n">
        <v>0.13</v>
      </c>
      <c r="C32" s="25" t="n">
        <v>800</v>
      </c>
      <c r="D32" s="20" t="n">
        <v>0.07000000000000001</v>
      </c>
      <c r="E32" s="20" t="n">
        <v>0.2</v>
      </c>
      <c r="F32" s="21" t="n">
        <v>120000</v>
      </c>
      <c r="G32" s="22" t="inlineStr">
        <is>
          <t>Creator partnerships &amp; affiliate commissions</t>
        </is>
      </c>
      <c r="H32" s="26">
        <f>C32*$B$59</f>
        <v/>
      </c>
      <c r="I32" s="24">
        <f>F32*$B$59</f>
        <v/>
      </c>
    </row>
    <row r="33" ht="16" customHeight="1">
      <c r="A33" s="18" t="inlineStr">
        <is>
          <t>Events &amp; Webinars</t>
        </is>
      </c>
      <c r="B33" s="20" t="n">
        <v>0.11</v>
      </c>
      <c r="C33" s="25" t="n">
        <v>2400</v>
      </c>
      <c r="D33" s="20" t="n">
        <v>0.2</v>
      </c>
      <c r="E33" s="20" t="n">
        <v>0.33</v>
      </c>
      <c r="F33" s="21" t="n">
        <v>120000</v>
      </c>
      <c r="G33" s="22" t="inlineStr">
        <is>
          <t>Highest cost per visitor, but highest intent &amp; close rate</t>
        </is>
      </c>
      <c r="H33" s="26">
        <f>C33*$B$59</f>
        <v/>
      </c>
      <c r="I33" s="24">
        <f>F33*$B$59</f>
        <v/>
      </c>
    </row>
    <row r="34" ht="16" customHeight="1">
      <c r="A34" s="18" t="inlineStr">
        <is>
          <t>PR &amp; Media Outreach</t>
        </is>
      </c>
      <c r="B34" s="20" t="n">
        <v>0.09</v>
      </c>
      <c r="C34" s="25" t="n">
        <v>320</v>
      </c>
      <c r="D34" s="20" t="n">
        <v>0.06</v>
      </c>
      <c r="E34" s="20" t="n">
        <v>0.19</v>
      </c>
      <c r="F34" s="21" t="n">
        <v>120000</v>
      </c>
      <c r="G34" s="22" t="inlineStr">
        <is>
          <t>Earned media, press placements</t>
        </is>
      </c>
      <c r="H34" s="26">
        <f>C34*$B$59</f>
        <v/>
      </c>
      <c r="I34" s="24">
        <f>F34*$B$59</f>
        <v/>
      </c>
    </row>
    <row r="35">
      <c r="A35" s="18" t="inlineStr">
        <is>
          <t>TOTAL</t>
        </is>
      </c>
      <c r="B35" s="27">
        <f>SUM(B19:B34)</f>
        <v/>
      </c>
      <c r="C35" s="28" t="n"/>
      <c r="D35" s="28" t="n"/>
      <c r="E35" s="28" t="n"/>
      <c r="F35" s="28" t="n"/>
      <c r="G35" s="28" t="n"/>
      <c r="H35" s="29">
        <f>IF(ROUND(B35,4)=1,"✓ 100%","⚠ Must total 100%")</f>
        <v/>
      </c>
    </row>
    <row r="37" ht="20" customHeight="1">
      <c r="A37" s="8" t="inlineStr">
        <is>
          <t>SAYZIO PLAN PRICING REFERENCE — INR &amp; USD</t>
        </is>
      </c>
    </row>
    <row r="38">
      <c r="A38" s="30" t="inlineStr">
        <is>
          <t>Plan</t>
        </is>
      </c>
      <c r="B38" s="30" t="inlineStr">
        <is>
          <t>Monthly Price (INR)</t>
        </is>
      </c>
      <c r="C38" s="30" t="inlineStr">
        <is>
          <t>Monthly Price (USD)</t>
        </is>
      </c>
    </row>
    <row r="39">
      <c r="A39" s="31" t="inlineStr">
        <is>
          <t>Starter</t>
        </is>
      </c>
      <c r="B39" s="24" t="n">
        <v>0</v>
      </c>
      <c r="C39" s="32" t="n">
        <v>0</v>
      </c>
    </row>
    <row r="40">
      <c r="A40" s="31" t="inlineStr">
        <is>
          <t>Bio Lite</t>
        </is>
      </c>
      <c r="B40" s="24" t="n">
        <v>167</v>
      </c>
      <c r="C40" s="32" t="n">
        <v>4</v>
      </c>
    </row>
    <row r="41">
      <c r="A41" s="31" t="inlineStr">
        <is>
          <t>Bio Plus</t>
        </is>
      </c>
      <c r="B41" s="24" t="n">
        <v>444</v>
      </c>
      <c r="C41" s="32" t="n">
        <v>8</v>
      </c>
    </row>
    <row r="42">
      <c r="A42" s="31" t="inlineStr">
        <is>
          <t>Creator</t>
        </is>
      </c>
      <c r="B42" s="24" t="n">
        <v>611</v>
      </c>
      <c r="C42" s="32" t="n">
        <v>12</v>
      </c>
    </row>
    <row r="43">
      <c r="A43" s="31" t="inlineStr">
        <is>
          <t>Professional</t>
        </is>
      </c>
      <c r="B43" s="24" t="n">
        <v>1389</v>
      </c>
      <c r="C43" s="32" t="n">
        <v>25</v>
      </c>
    </row>
    <row r="44">
      <c r="A44" s="31" t="inlineStr">
        <is>
          <t>Developer</t>
        </is>
      </c>
      <c r="B44" s="24" t="n">
        <v>3055</v>
      </c>
      <c r="C44" s="32" t="n">
        <v>52</v>
      </c>
    </row>
    <row r="45">
      <c r="A45" s="31" t="inlineStr">
        <is>
          <t>Business</t>
        </is>
      </c>
      <c r="B45" s="24" t="n">
        <v>6555</v>
      </c>
      <c r="C45" s="32" t="n">
        <v>106</v>
      </c>
    </row>
    <row r="46">
      <c r="A46" s="31" t="inlineStr">
        <is>
          <t>Agency</t>
        </is>
      </c>
      <c r="B46" s="24" t="n">
        <v>13055</v>
      </c>
      <c r="C46" s="32" t="n">
        <v>199</v>
      </c>
    </row>
    <row r="47">
      <c r="A47" s="31" t="inlineStr">
        <is>
          <t>Enterprise API</t>
        </is>
      </c>
      <c r="B47" s="24" t="n">
        <v>27778</v>
      </c>
      <c r="C47" s="32" t="n">
        <v>399</v>
      </c>
    </row>
    <row r="49" ht="20" customHeight="1">
      <c r="A49" s="8" t="inlineStr">
        <is>
          <t>ASSUMPTIONS &amp; SOURCES</t>
        </is>
      </c>
    </row>
    <row r="50" ht="28" customHeight="1">
      <c r="A50" s="33" t="inlineStr">
        <is>
          <t>• Channel default benchmarks (allocation %, cost per visitor, conversion rates) are illustrative starting points based on common SMB / DTC digital-marketing ranges. Replace with your own historical performance data for accuracy.</t>
        </is>
      </c>
    </row>
    <row r="51" ht="28" customHeight="1">
      <c r="A51" s="33" t="inlineStr">
        <is>
          <t>• Sayzio plan pricing (table above): Source — Sayzio live pricing page (sayzio.app/pricing), verified August 2026. Both USD and INR are Sayzio's real published prices for each market (INR is not a currency conversion of USD). Confirm current pricing before finalizing budget, as prices may change. Enterprise API is custom-quoted; figures shown are indicative only.</t>
        </is>
      </c>
    </row>
    <row r="52" ht="28" customHeight="1">
      <c r="A52" s="33" t="inlineStr">
        <is>
          <t>• Avg Customer Value defaults to ₹120,000 across all channels for simplicity — edit per-channel in column F if your average order/deal value differs by acquisition source.</t>
        </is>
      </c>
    </row>
    <row r="53" ht="28" customHeight="1">
      <c r="A53" s="33" t="inlineStr">
        <is>
          <t>• Columns C and F (Cost per Visitor, Avg Customer Value) are always entered in INR — that's the model's base currency. Columns H and I next to them are read-only and show the same figures converted to your Display Currency (₹ by default, $ when toggled to USD), for reference.</t>
        </is>
      </c>
    </row>
    <row r="54" ht="28" customHeight="1">
      <c r="A54" s="33" t="inlineStr">
        <is>
          <t>• Sayzio (row above) is priced as a FIXED monthly subscription + optional AI Credits, not a % of the ad budget — see 'Sayzio Fixed Cost &amp; Organic Traffic' further down this sheet. The Total Annual Ad-Spend Budget above therefore covers only the other 15 paid channels; Sayzio's small fixed cost is added on top in the Monthly Plan sheet.</t>
        </is>
      </c>
    </row>
    <row r="56" ht="20" customHeight="1">
      <c r="A56" s="8" t="inlineStr">
        <is>
          <t>CURRENCY SETTINGS</t>
        </is>
      </c>
    </row>
    <row r="57">
      <c r="A57" s="3" t="inlineStr">
        <is>
          <t>Display Currency (whole workbook)</t>
        </is>
      </c>
      <c r="B57" s="13" t="inlineStr">
        <is>
          <t>INR</t>
        </is>
      </c>
    </row>
    <row r="58">
      <c r="A58" s="3" t="inlineStr">
        <is>
          <t>USD → INR Exchange Rate</t>
        </is>
      </c>
      <c r="B58" s="34" t="n">
        <v>800</v>
      </c>
    </row>
    <row r="59">
      <c r="A59" s="6" t="inlineStr">
        <is>
          <t>→ Currency Multiplier (computed)</t>
        </is>
      </c>
      <c r="B59" s="35">
        <f>IF(B57="USD",1/B58,1)</f>
        <v/>
      </c>
    </row>
    <row r="60" ht="38" customHeight="1">
      <c r="A60" s="33" t="inlineStr">
        <is>
          <t>This workbook's base currency is INR (₹) — every rupee figure in Monthly Plan, Dashboard KPIs and charts, and Channel Summary now scales to USD ($) whenever you set Display Currency to USD (Traffic/Leads/Customer counts are unaffected, since those aren't money). It does not affect the Sayzio Plan Pricing Reference table above, which already shows Sayzio's real published INR and USD prices side by side.</t>
        </is>
      </c>
    </row>
    <row r="62" ht="20" customHeight="1">
      <c r="A62" s="8" t="inlineStr">
        <is>
          <t>CURRENCY CONVERTER</t>
        </is>
      </c>
    </row>
    <row r="63">
      <c r="A63" s="10" t="inlineStr">
        <is>
          <t>Amount</t>
        </is>
      </c>
      <c r="B63" s="10" t="inlineStr">
        <is>
          <t>From</t>
        </is>
      </c>
      <c r="C63" s="10" t="inlineStr">
        <is>
          <t>To</t>
        </is>
      </c>
      <c r="D63" s="10" t="inlineStr">
        <is>
          <t>Converted Result</t>
        </is>
      </c>
    </row>
    <row r="64">
      <c r="A64" s="36" t="n">
        <v>1000</v>
      </c>
      <c r="B64" s="19" t="inlineStr">
        <is>
          <t>INR</t>
        </is>
      </c>
      <c r="C64" s="19" t="inlineStr">
        <is>
          <t>USD</t>
        </is>
      </c>
      <c r="D64" s="37">
        <f>IF(B64=C64, IF(C64="INR","₹"&amp;TEXT(A64,"#,##0.00"),"$"&amp;TEXT(A64,"#,##0.00")), IF(AND(B64="USD",C64="INR"), "₹"&amp;TEXT(A64*$B$58,"#,##0.00"), IF(AND(B64="INR",C64="USD"), "$"&amp;TEXT(A64/$B$58,"#,##0.00"), "")))</f>
        <v/>
      </c>
    </row>
    <row r="65">
      <c r="A65" s="16" t="inlineStr">
        <is>
          <t>Edit Amount / From / To (dropdowns) — the result updates automatically using the exchange rate above.</t>
        </is>
      </c>
    </row>
    <row r="67" ht="20" customHeight="1">
      <c r="A67" s="8" t="inlineStr">
        <is>
          <t>SAYZIO TOOLSET EFFECTIVENESS (CRM, DIALER, LEAD CAPTURE &amp; CHAT WIDGET)</t>
        </is>
      </c>
    </row>
    <row r="68">
      <c r="A68" s="3" t="inlineStr">
        <is>
          <t>Apply Sayzio Toolset Uplifts?</t>
        </is>
      </c>
      <c r="B68" s="13" t="inlineStr">
        <is>
          <t>Yes</t>
        </is>
      </c>
      <c r="C68" s="16" t="inlineStr">
        <is>
          <t>Toggle to Yes/No to compare projections with and without the toolset uplift.</t>
        </is>
      </c>
    </row>
    <row r="69">
      <c r="A69" s="3" t="inlineStr">
        <is>
          <t>CRM &amp; Dialer Follow-up Uplift (Lead → Customer)</t>
        </is>
      </c>
      <c r="B69" s="38" t="n">
        <v>0.15</v>
      </c>
      <c r="C69" s="16" t="inlineStr">
        <is>
          <t>Leads from every channel land in Sayzio's Contacts/CRM and get worked via the Dialer instead of going cold — applies to all channels.</t>
        </is>
      </c>
    </row>
    <row r="70">
      <c r="A70" s="3" t="inlineStr">
        <is>
          <t>Site Assistant / Chat Widget Uplift (Visitor → Lead)</t>
        </is>
      </c>
      <c r="B70" s="38" t="n">
        <v>0.08</v>
      </c>
      <c r="C70" s="16" t="inlineStr">
        <is>
          <t>The on-site AI chat widget engages visitors in-browser and captures more of them as leads before they bounce — applies to all channels.</t>
        </is>
      </c>
    </row>
    <row r="71">
      <c r="A71" s="6" t="inlineStr">
        <is>
          <t>→ Visitor→Lead Multiplier (computed)</t>
        </is>
      </c>
      <c r="B71" s="39">
        <f>IF(B68="Yes",1+B70,1)</f>
        <v/>
      </c>
    </row>
    <row r="72">
      <c r="A72" s="6" t="inlineStr">
        <is>
          <t>→ Lead→Customer Multiplier (computed)</t>
        </is>
      </c>
      <c r="B72" s="39">
        <f>IF(B68="Yes",1+B69,1)</f>
        <v/>
      </c>
    </row>
    <row r="73" ht="38" customHeight="1">
      <c r="A73" s="33" t="inlineStr">
        <is>
          <t>These uplifts are illustrative — they represent the value of consolidating lead follow-up in one system instead of channels operating in silos with no CRM. Replace with your own before/after data (e.g. close rate with vs. without systematic dialer follow-up) once you have it. Set 'Apply Sayzio Toolset Uplifts?' to No to see baseline projections with no uplift, for an apples-to-apples comparison.</t>
        </is>
      </c>
    </row>
    <row r="75" ht="20" customHeight="1">
      <c r="A75" s="8" t="inlineStr">
        <is>
          <t>SAYZIO FIXED COST &amp; ORGANIC TRAFFIC</t>
        </is>
      </c>
    </row>
    <row r="76">
      <c r="A76" s="3" t="inlineStr">
        <is>
          <t>AI Credits Usage (₹/month, extra — only if used)</t>
        </is>
      </c>
      <c r="B76" s="40" t="n">
        <v>0</v>
      </c>
      <c r="C76" s="16" t="inlineStr">
        <is>
          <t>Optional add-on on top of the subscription — leave at 0 if you don't use AI Credits.</t>
        </is>
      </c>
    </row>
    <row r="77">
      <c r="A77" s="3" t="inlineStr">
        <is>
          <t>Est. Monthly Organic Visitors (Bio Page, QR &amp; Short Links)</t>
        </is>
      </c>
      <c r="B77" s="41" t="n">
        <v>8000</v>
      </c>
      <c r="C77" s="16" t="inlineStr">
        <is>
          <t>Traffic the bio page/QR codes/short links get on their own — mostly owned &amp; organic, not bought per-visitor.</t>
        </is>
      </c>
    </row>
    <row r="78" ht="46" customHeight="1">
      <c r="A78" s="33" t="inlineStr">
        <is>
          <t>Sayzio's cost is its FIXED monthly subscription (see Sayzio Plan Selection above) plus AI Credits only if you use them — it is NOT a percentage of your ad budget. In the Channel Assumptions table below, Sayzio's 'Budget Allocation %' cell shows 'Fixed Cost' instead of a % and is excluded from the 100% total; the other 15 paid channels' allocations sum to 100% of the Total Annual Ad-Spend Budget on their own. In the Monthly Plan sheet, Sayzio's Spend = subscription + AI credits (flat each month) and its Traffic comes from the organic-visitor estimate above — not from dividing spend by a cost-per-visitor.</t>
        </is>
      </c>
    </row>
  </sheetData>
  <mergeCells count="22">
    <mergeCell ref="A17:G17"/>
    <mergeCell ref="A37:C37"/>
    <mergeCell ref="A62:D62"/>
    <mergeCell ref="A75:F75"/>
    <mergeCell ref="A60:N60"/>
    <mergeCell ref="A73:N73"/>
    <mergeCell ref="A51:N51"/>
    <mergeCell ref="A56:F56"/>
    <mergeCell ref="A1:N1"/>
    <mergeCell ref="A78:N78"/>
    <mergeCell ref="A54:N54"/>
    <mergeCell ref="A49:G49"/>
    <mergeCell ref="A50:N50"/>
    <mergeCell ref="A2:N2"/>
    <mergeCell ref="B4:D4"/>
    <mergeCell ref="A67:F67"/>
    <mergeCell ref="A65:D65"/>
    <mergeCell ref="A15:F15"/>
    <mergeCell ref="A8:N8"/>
    <mergeCell ref="A53:N53"/>
    <mergeCell ref="A12:D12"/>
    <mergeCell ref="A52:N52"/>
  </mergeCells>
  <conditionalFormatting sqref="B35">
    <cfRule type="cellIs" priority="1" operator="notEqual" dxfId="0">
      <formula>1</formula>
    </cfRule>
  </conditionalFormatting>
  <conditionalFormatting sqref="I19">
    <cfRule type="expression" priority="2" dxfId="1">
      <formula>Assumptions!$B$57="USD"</formula>
    </cfRule>
  </conditionalFormatting>
  <conditionalFormatting sqref="H20">
    <cfRule type="expression" priority="3" dxfId="2">
      <formula>Assumptions!$B$57="USD"</formula>
    </cfRule>
  </conditionalFormatting>
  <conditionalFormatting sqref="I20">
    <cfRule type="expression" priority="4" dxfId="3">
      <formula>Assumptions!$B$57="USD"</formula>
    </cfRule>
  </conditionalFormatting>
  <conditionalFormatting sqref="H21">
    <cfRule type="expression" priority="5" dxfId="4">
      <formula>Assumptions!$B$57="USD"</formula>
    </cfRule>
  </conditionalFormatting>
  <conditionalFormatting sqref="I21">
    <cfRule type="expression" priority="6" dxfId="5">
      <formula>Assumptions!$B$57="USD"</formula>
    </cfRule>
  </conditionalFormatting>
  <conditionalFormatting sqref="H22">
    <cfRule type="expression" priority="7" dxfId="6">
      <formula>Assumptions!$B$57="USD"</formula>
    </cfRule>
  </conditionalFormatting>
  <conditionalFormatting sqref="I22">
    <cfRule type="expression" priority="8" dxfId="7">
      <formula>Assumptions!$B$57="USD"</formula>
    </cfRule>
  </conditionalFormatting>
  <conditionalFormatting sqref="H23">
    <cfRule type="expression" priority="9" dxfId="8">
      <formula>Assumptions!$B$57="USD"</formula>
    </cfRule>
  </conditionalFormatting>
  <conditionalFormatting sqref="I23">
    <cfRule type="expression" priority="10" dxfId="9">
      <formula>Assumptions!$B$57="USD"</formula>
    </cfRule>
  </conditionalFormatting>
  <conditionalFormatting sqref="H24">
    <cfRule type="expression" priority="11" dxfId="10">
      <formula>Assumptions!$B$57="USD"</formula>
    </cfRule>
  </conditionalFormatting>
  <conditionalFormatting sqref="I24">
    <cfRule type="expression" priority="12" dxfId="11">
      <formula>Assumptions!$B$57="USD"</formula>
    </cfRule>
  </conditionalFormatting>
  <conditionalFormatting sqref="H25">
    <cfRule type="expression" priority="13" dxfId="12">
      <formula>Assumptions!$B$57="USD"</formula>
    </cfRule>
  </conditionalFormatting>
  <conditionalFormatting sqref="I25">
    <cfRule type="expression" priority="14" dxfId="13">
      <formula>Assumptions!$B$57="USD"</formula>
    </cfRule>
  </conditionalFormatting>
  <conditionalFormatting sqref="H26">
    <cfRule type="expression" priority="15" dxfId="14">
      <formula>Assumptions!$B$57="USD"</formula>
    </cfRule>
  </conditionalFormatting>
  <conditionalFormatting sqref="I26">
    <cfRule type="expression" priority="16" dxfId="15">
      <formula>Assumptions!$B$57="USD"</formula>
    </cfRule>
  </conditionalFormatting>
  <conditionalFormatting sqref="H27">
    <cfRule type="expression" priority="17" dxfId="16">
      <formula>Assumptions!$B$57="USD"</formula>
    </cfRule>
  </conditionalFormatting>
  <conditionalFormatting sqref="I27">
    <cfRule type="expression" priority="18" dxfId="17">
      <formula>Assumptions!$B$57="USD"</formula>
    </cfRule>
  </conditionalFormatting>
  <conditionalFormatting sqref="H28">
    <cfRule type="expression" priority="19" dxfId="18">
      <formula>Assumptions!$B$57="USD"</formula>
    </cfRule>
  </conditionalFormatting>
  <conditionalFormatting sqref="I28">
    <cfRule type="expression" priority="20" dxfId="19">
      <formula>Assumptions!$B$57="USD"</formula>
    </cfRule>
  </conditionalFormatting>
  <conditionalFormatting sqref="H29">
    <cfRule type="expression" priority="21" dxfId="20">
      <formula>Assumptions!$B$57="USD"</formula>
    </cfRule>
  </conditionalFormatting>
  <conditionalFormatting sqref="I29">
    <cfRule type="expression" priority="22" dxfId="21">
      <formula>Assumptions!$B$57="USD"</formula>
    </cfRule>
  </conditionalFormatting>
  <conditionalFormatting sqref="H30">
    <cfRule type="expression" priority="23" dxfId="22">
      <formula>Assumptions!$B$57="USD"</formula>
    </cfRule>
  </conditionalFormatting>
  <conditionalFormatting sqref="I30">
    <cfRule type="expression" priority="24" dxfId="23">
      <formula>Assumptions!$B$57="USD"</formula>
    </cfRule>
  </conditionalFormatting>
  <conditionalFormatting sqref="H31">
    <cfRule type="expression" priority="25" dxfId="24">
      <formula>Assumptions!$B$57="USD"</formula>
    </cfRule>
  </conditionalFormatting>
  <conditionalFormatting sqref="I31">
    <cfRule type="expression" priority="26" dxfId="25">
      <formula>Assumptions!$B$57="USD"</formula>
    </cfRule>
  </conditionalFormatting>
  <conditionalFormatting sqref="H32">
    <cfRule type="expression" priority="27" dxfId="26">
      <formula>Assumptions!$B$57="USD"</formula>
    </cfRule>
  </conditionalFormatting>
  <conditionalFormatting sqref="I32">
    <cfRule type="expression" priority="28" dxfId="27">
      <formula>Assumptions!$B$57="USD"</formula>
    </cfRule>
  </conditionalFormatting>
  <conditionalFormatting sqref="H33">
    <cfRule type="expression" priority="29" dxfId="28">
      <formula>Assumptions!$B$57="USD"</formula>
    </cfRule>
  </conditionalFormatting>
  <conditionalFormatting sqref="I33">
    <cfRule type="expression" priority="30" dxfId="29">
      <formula>Assumptions!$B$57="USD"</formula>
    </cfRule>
  </conditionalFormatting>
  <conditionalFormatting sqref="H34">
    <cfRule type="expression" priority="31" dxfId="30">
      <formula>Assumptions!$B$57="USD"</formula>
    </cfRule>
  </conditionalFormatting>
  <conditionalFormatting sqref="I34">
    <cfRule type="expression" priority="32" dxfId="31">
      <formula>Assumptions!$B$57="USD"</formula>
    </cfRule>
  </conditionalFormatting>
  <dataValidations count="5">
    <dataValidation sqref="B13" showDropDown="0" showInputMessage="0" showErrorMessage="0" allowBlank="1" type="list">
      <formula1>=Assumptions!$A$39:$A$47</formula1>
    </dataValidation>
    <dataValidation sqref="B57" showDropDown="0" showInputMessage="0" showErrorMessage="0" allowBlank="0" type="list">
      <formula1>"USD,INR"</formula1>
    </dataValidation>
    <dataValidation sqref="B64" showDropDown="0" showInputMessage="0" showErrorMessage="0" allowBlank="0" type="list">
      <formula1>"USD,INR"</formula1>
    </dataValidation>
    <dataValidation sqref="C64" showDropDown="0" showInputMessage="0" showErrorMessage="0" allowBlank="0" type="list">
      <formula1>"USD,INR"</formula1>
    </dataValidation>
    <dataValidation sqref="B68" showDropDown="0" showInputMessage="0" showErrorMessage="0" allowBlank="0"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6"/>
  <sheetViews>
    <sheetView showGridLines="0" workbookViewId="0">
      <selection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4" customWidth="1" min="14" max="14"/>
  </cols>
  <sheetData>
    <row r="1" ht="22" customHeight="1">
      <c r="A1" s="1" t="inlineStr">
        <is>
          <t>12-MONTH MARKETING PLAN — MONTHLY BREAKDOWN</t>
        </is>
      </c>
    </row>
    <row r="2" ht="18" customHeight="1">
      <c r="A2" s="2" t="inlineStr">
        <is>
          <t>All values auto-calculate from the Assumptions tab. Edit assumptions there — not here.</t>
        </is>
      </c>
    </row>
    <row r="4" ht="18" customHeight="1">
      <c r="A4" s="42" t="inlineStr">
        <is>
          <t>Channel / Metric</t>
        </is>
      </c>
      <c r="B4" s="10" t="inlineStr">
        <is>
          <t>Jan</t>
        </is>
      </c>
      <c r="C4" s="10" t="inlineStr">
        <is>
          <t>Feb</t>
        </is>
      </c>
      <c r="D4" s="10" t="inlineStr">
        <is>
          <t>Mar</t>
        </is>
      </c>
      <c r="E4" s="10" t="inlineStr">
        <is>
          <t>Apr</t>
        </is>
      </c>
      <c r="F4" s="10" t="inlineStr">
        <is>
          <t>May</t>
        </is>
      </c>
      <c r="G4" s="10" t="inlineStr">
        <is>
          <t>Jun</t>
        </is>
      </c>
      <c r="H4" s="10" t="inlineStr">
        <is>
          <t>Jul</t>
        </is>
      </c>
      <c r="I4" s="10" t="inlineStr">
        <is>
          <t>Aug</t>
        </is>
      </c>
      <c r="J4" s="10" t="inlineStr">
        <is>
          <t>Sep</t>
        </is>
      </c>
      <c r="K4" s="10" t="inlineStr">
        <is>
          <t>Oct</t>
        </is>
      </c>
      <c r="L4" s="10" t="inlineStr">
        <is>
          <t>Nov</t>
        </is>
      </c>
      <c r="M4" s="10" t="inlineStr">
        <is>
          <t>Dec</t>
        </is>
      </c>
      <c r="N4" s="10" t="inlineStr">
        <is>
          <t>Total (Year)</t>
        </is>
      </c>
    </row>
    <row r="6" ht="16" customHeight="1">
      <c r="A6" s="43" t="inlineStr">
        <is>
          <t>Sayzio (Link-in-Bio, QR &amp; Short Links)</t>
        </is>
      </c>
    </row>
    <row r="7">
      <c r="A7" s="44" t="inlineStr">
        <is>
          <t>Spend (₹)</t>
        </is>
      </c>
      <c r="B7" s="45">
        <f>(Assumptions!$B$14+Assumptions!$B$76)*Assumptions!$B$59</f>
        <v/>
      </c>
      <c r="C7" s="45">
        <f>(Assumptions!$B$14+Assumptions!$B$76)*Assumptions!$B$59</f>
        <v/>
      </c>
      <c r="D7" s="45">
        <f>(Assumptions!$B$14+Assumptions!$B$76)*Assumptions!$B$59</f>
        <v/>
      </c>
      <c r="E7" s="45">
        <f>(Assumptions!$B$14+Assumptions!$B$76)*Assumptions!$B$59</f>
        <v/>
      </c>
      <c r="F7" s="45">
        <f>(Assumptions!$B$14+Assumptions!$B$76)*Assumptions!$B$59</f>
        <v/>
      </c>
      <c r="G7" s="45">
        <f>(Assumptions!$B$14+Assumptions!$B$76)*Assumptions!$B$59</f>
        <v/>
      </c>
      <c r="H7" s="45">
        <f>(Assumptions!$B$14+Assumptions!$B$76)*Assumptions!$B$59</f>
        <v/>
      </c>
      <c r="I7" s="45">
        <f>(Assumptions!$B$14+Assumptions!$B$76)*Assumptions!$B$59</f>
        <v/>
      </c>
      <c r="J7" s="45">
        <f>(Assumptions!$B$14+Assumptions!$B$76)*Assumptions!$B$59</f>
        <v/>
      </c>
      <c r="K7" s="45">
        <f>(Assumptions!$B$14+Assumptions!$B$76)*Assumptions!$B$59</f>
        <v/>
      </c>
      <c r="L7" s="45">
        <f>(Assumptions!$B$14+Assumptions!$B$76)*Assumptions!$B$59</f>
        <v/>
      </c>
      <c r="M7" s="45">
        <f>(Assumptions!$B$14+Assumptions!$B$76)*Assumptions!$B$59</f>
        <v/>
      </c>
      <c r="N7" s="46">
        <f>SUM(B7:M7)</f>
        <v/>
      </c>
    </row>
    <row r="8">
      <c r="A8" s="44" t="inlineStr">
        <is>
          <t>Traffic (Visitors)</t>
        </is>
      </c>
      <c r="B8" s="47">
        <f>Assumptions!$B$77*Assumptions!B$10/(Assumptions!$N$10/12)</f>
        <v/>
      </c>
      <c r="C8" s="47">
        <f>Assumptions!$B$77*Assumptions!C$10/(Assumptions!$N$10/12)</f>
        <v/>
      </c>
      <c r="D8" s="47">
        <f>Assumptions!$B$77*Assumptions!D$10/(Assumptions!$N$10/12)</f>
        <v/>
      </c>
      <c r="E8" s="47">
        <f>Assumptions!$B$77*Assumptions!E$10/(Assumptions!$N$10/12)</f>
        <v/>
      </c>
      <c r="F8" s="47">
        <f>Assumptions!$B$77*Assumptions!F$10/(Assumptions!$N$10/12)</f>
        <v/>
      </c>
      <c r="G8" s="47">
        <f>Assumptions!$B$77*Assumptions!G$10/(Assumptions!$N$10/12)</f>
        <v/>
      </c>
      <c r="H8" s="47">
        <f>Assumptions!$B$77*Assumptions!H$10/(Assumptions!$N$10/12)</f>
        <v/>
      </c>
      <c r="I8" s="47">
        <f>Assumptions!$B$77*Assumptions!I$10/(Assumptions!$N$10/12)</f>
        <v/>
      </c>
      <c r="J8" s="47">
        <f>Assumptions!$B$77*Assumptions!J$10/(Assumptions!$N$10/12)</f>
        <v/>
      </c>
      <c r="K8" s="47">
        <f>Assumptions!$B$77*Assumptions!K$10/(Assumptions!$N$10/12)</f>
        <v/>
      </c>
      <c r="L8" s="47">
        <f>Assumptions!$B$77*Assumptions!L$10/(Assumptions!$N$10/12)</f>
        <v/>
      </c>
      <c r="M8" s="47">
        <f>Assumptions!$B$77*Assumptions!M$10/(Assumptions!$N$10/12)</f>
        <v/>
      </c>
      <c r="N8" s="48">
        <f>SUM(B8:M8)</f>
        <v/>
      </c>
    </row>
    <row r="9">
      <c r="A9" s="44" t="inlineStr">
        <is>
          <t>Leads</t>
        </is>
      </c>
      <c r="B9" s="47">
        <f>B8*Assumptions!$D$19*Assumptions!$B$71</f>
        <v/>
      </c>
      <c r="C9" s="47">
        <f>C8*Assumptions!$D$19*Assumptions!$B$71</f>
        <v/>
      </c>
      <c r="D9" s="47">
        <f>D8*Assumptions!$D$19*Assumptions!$B$71</f>
        <v/>
      </c>
      <c r="E9" s="47">
        <f>E8*Assumptions!$D$19*Assumptions!$B$71</f>
        <v/>
      </c>
      <c r="F9" s="47">
        <f>F8*Assumptions!$D$19*Assumptions!$B$71</f>
        <v/>
      </c>
      <c r="G9" s="47">
        <f>G8*Assumptions!$D$19*Assumptions!$B$71</f>
        <v/>
      </c>
      <c r="H9" s="47">
        <f>H8*Assumptions!$D$19*Assumptions!$B$71</f>
        <v/>
      </c>
      <c r="I9" s="47">
        <f>I8*Assumptions!$D$19*Assumptions!$B$71</f>
        <v/>
      </c>
      <c r="J9" s="47">
        <f>J8*Assumptions!$D$19*Assumptions!$B$71</f>
        <v/>
      </c>
      <c r="K9" s="47">
        <f>K8*Assumptions!$D$19*Assumptions!$B$71</f>
        <v/>
      </c>
      <c r="L9" s="47">
        <f>L8*Assumptions!$D$19*Assumptions!$B$71</f>
        <v/>
      </c>
      <c r="M9" s="47">
        <f>M8*Assumptions!$D$19*Assumptions!$B$71</f>
        <v/>
      </c>
      <c r="N9" s="48">
        <f>SUM(B9:M9)</f>
        <v/>
      </c>
    </row>
    <row r="10">
      <c r="A10" s="44" t="inlineStr">
        <is>
          <t>Customers</t>
        </is>
      </c>
      <c r="B10" s="47">
        <f>B9*Assumptions!$E$19*Assumptions!$B$72</f>
        <v/>
      </c>
      <c r="C10" s="47">
        <f>C9*Assumptions!$E$19*Assumptions!$B$72</f>
        <v/>
      </c>
      <c r="D10" s="47">
        <f>D9*Assumptions!$E$19*Assumptions!$B$72</f>
        <v/>
      </c>
      <c r="E10" s="47">
        <f>E9*Assumptions!$E$19*Assumptions!$B$72</f>
        <v/>
      </c>
      <c r="F10" s="47">
        <f>F9*Assumptions!$E$19*Assumptions!$B$72</f>
        <v/>
      </c>
      <c r="G10" s="47">
        <f>G9*Assumptions!$E$19*Assumptions!$B$72</f>
        <v/>
      </c>
      <c r="H10" s="47">
        <f>H9*Assumptions!$E$19*Assumptions!$B$72</f>
        <v/>
      </c>
      <c r="I10" s="47">
        <f>I9*Assumptions!$E$19*Assumptions!$B$72</f>
        <v/>
      </c>
      <c r="J10" s="47">
        <f>J9*Assumptions!$E$19*Assumptions!$B$72</f>
        <v/>
      </c>
      <c r="K10" s="47">
        <f>K9*Assumptions!$E$19*Assumptions!$B$72</f>
        <v/>
      </c>
      <c r="L10" s="47">
        <f>L9*Assumptions!$E$19*Assumptions!$B$72</f>
        <v/>
      </c>
      <c r="M10" s="47">
        <f>M9*Assumptions!$E$19*Assumptions!$B$72</f>
        <v/>
      </c>
      <c r="N10" s="48">
        <f>SUM(B10:M10)</f>
        <v/>
      </c>
    </row>
    <row r="11">
      <c r="A11" s="44" t="inlineStr">
        <is>
          <t>Revenue (₹)</t>
        </is>
      </c>
      <c r="B11" s="45">
        <f>B10*Assumptions!$F$19*Assumptions!$B$59</f>
        <v/>
      </c>
      <c r="C11" s="45">
        <f>C10*Assumptions!$F$19*Assumptions!$B$59</f>
        <v/>
      </c>
      <c r="D11" s="45">
        <f>D10*Assumptions!$F$19*Assumptions!$B$59</f>
        <v/>
      </c>
      <c r="E11" s="45">
        <f>E10*Assumptions!$F$19*Assumptions!$B$59</f>
        <v/>
      </c>
      <c r="F11" s="45">
        <f>F10*Assumptions!$F$19*Assumptions!$B$59</f>
        <v/>
      </c>
      <c r="G11" s="45">
        <f>G10*Assumptions!$F$19*Assumptions!$B$59</f>
        <v/>
      </c>
      <c r="H11" s="45">
        <f>H10*Assumptions!$F$19*Assumptions!$B$59</f>
        <v/>
      </c>
      <c r="I11" s="45">
        <f>I10*Assumptions!$F$19*Assumptions!$B$59</f>
        <v/>
      </c>
      <c r="J11" s="45">
        <f>J10*Assumptions!$F$19*Assumptions!$B$59</f>
        <v/>
      </c>
      <c r="K11" s="45">
        <f>K10*Assumptions!$F$19*Assumptions!$B$59</f>
        <v/>
      </c>
      <c r="L11" s="45">
        <f>L10*Assumptions!$F$19*Assumptions!$B$59</f>
        <v/>
      </c>
      <c r="M11" s="45">
        <f>M10*Assumptions!$F$19*Assumptions!$B$59</f>
        <v/>
      </c>
      <c r="N11" s="46">
        <f>SUM(B11:M11)</f>
        <v/>
      </c>
    </row>
    <row r="13" ht="16" customHeight="1">
      <c r="A13" s="43" t="inlineStr">
        <is>
          <t>Instagram Ads</t>
        </is>
      </c>
    </row>
    <row r="14">
      <c r="A14" s="44" t="inlineStr">
        <is>
          <t>Spend (₹)</t>
        </is>
      </c>
      <c r="B14" s="45">
        <f>Assumptions!$B$5*Assumptions!$B$20*Assumptions!B$10/Assumptions!$N$10*Assumptions!$B$59</f>
        <v/>
      </c>
      <c r="C14" s="45">
        <f>Assumptions!$B$5*Assumptions!$B$20*Assumptions!C$10/Assumptions!$N$10*Assumptions!$B$59</f>
        <v/>
      </c>
      <c r="D14" s="45">
        <f>Assumptions!$B$5*Assumptions!$B$20*Assumptions!D$10/Assumptions!$N$10*Assumptions!$B$59</f>
        <v/>
      </c>
      <c r="E14" s="45">
        <f>Assumptions!$B$5*Assumptions!$B$20*Assumptions!E$10/Assumptions!$N$10*Assumptions!$B$59</f>
        <v/>
      </c>
      <c r="F14" s="45">
        <f>Assumptions!$B$5*Assumptions!$B$20*Assumptions!F$10/Assumptions!$N$10*Assumptions!$B$59</f>
        <v/>
      </c>
      <c r="G14" s="45">
        <f>Assumptions!$B$5*Assumptions!$B$20*Assumptions!G$10/Assumptions!$N$10*Assumptions!$B$59</f>
        <v/>
      </c>
      <c r="H14" s="45">
        <f>Assumptions!$B$5*Assumptions!$B$20*Assumptions!H$10/Assumptions!$N$10*Assumptions!$B$59</f>
        <v/>
      </c>
      <c r="I14" s="45">
        <f>Assumptions!$B$5*Assumptions!$B$20*Assumptions!I$10/Assumptions!$N$10*Assumptions!$B$59</f>
        <v/>
      </c>
      <c r="J14" s="45">
        <f>Assumptions!$B$5*Assumptions!$B$20*Assumptions!J$10/Assumptions!$N$10*Assumptions!$B$59</f>
        <v/>
      </c>
      <c r="K14" s="45">
        <f>Assumptions!$B$5*Assumptions!$B$20*Assumptions!K$10/Assumptions!$N$10*Assumptions!$B$59</f>
        <v/>
      </c>
      <c r="L14" s="45">
        <f>Assumptions!$B$5*Assumptions!$B$20*Assumptions!L$10/Assumptions!$N$10*Assumptions!$B$59</f>
        <v/>
      </c>
      <c r="M14" s="45">
        <f>Assumptions!$B$5*Assumptions!$B$20*Assumptions!M$10/Assumptions!$N$10*Assumptions!$B$59</f>
        <v/>
      </c>
      <c r="N14" s="46">
        <f>SUM(B14:M14)</f>
        <v/>
      </c>
    </row>
    <row r="15">
      <c r="A15" s="44" t="inlineStr">
        <is>
          <t>Traffic (Visitors)</t>
        </is>
      </c>
      <c r="B15" s="47">
        <f>IFERROR(B14/(Assumptions!$C$20*Assumptions!$B$59),0)</f>
        <v/>
      </c>
      <c r="C15" s="47">
        <f>IFERROR(C14/(Assumptions!$C$20*Assumptions!$B$59),0)</f>
        <v/>
      </c>
      <c r="D15" s="47">
        <f>IFERROR(D14/(Assumptions!$C$20*Assumptions!$B$59),0)</f>
        <v/>
      </c>
      <c r="E15" s="47">
        <f>IFERROR(E14/(Assumptions!$C$20*Assumptions!$B$59),0)</f>
        <v/>
      </c>
      <c r="F15" s="47">
        <f>IFERROR(F14/(Assumptions!$C$20*Assumptions!$B$59),0)</f>
        <v/>
      </c>
      <c r="G15" s="47">
        <f>IFERROR(G14/(Assumptions!$C$20*Assumptions!$B$59),0)</f>
        <v/>
      </c>
      <c r="H15" s="47">
        <f>IFERROR(H14/(Assumptions!$C$20*Assumptions!$B$59),0)</f>
        <v/>
      </c>
      <c r="I15" s="47">
        <f>IFERROR(I14/(Assumptions!$C$20*Assumptions!$B$59),0)</f>
        <v/>
      </c>
      <c r="J15" s="47">
        <f>IFERROR(J14/(Assumptions!$C$20*Assumptions!$B$59),0)</f>
        <v/>
      </c>
      <c r="K15" s="47">
        <f>IFERROR(K14/(Assumptions!$C$20*Assumptions!$B$59),0)</f>
        <v/>
      </c>
      <c r="L15" s="47">
        <f>IFERROR(L14/(Assumptions!$C$20*Assumptions!$B$59),0)</f>
        <v/>
      </c>
      <c r="M15" s="47">
        <f>IFERROR(M14/(Assumptions!$C$20*Assumptions!$B$59),0)</f>
        <v/>
      </c>
      <c r="N15" s="48">
        <f>SUM(B15:M15)</f>
        <v/>
      </c>
    </row>
    <row r="16">
      <c r="A16" s="44" t="inlineStr">
        <is>
          <t>Leads</t>
        </is>
      </c>
      <c r="B16" s="47">
        <f>B15*Assumptions!$D$20*Assumptions!$B$71</f>
        <v/>
      </c>
      <c r="C16" s="47">
        <f>C15*Assumptions!$D$20*Assumptions!$B$71</f>
        <v/>
      </c>
      <c r="D16" s="47">
        <f>D15*Assumptions!$D$20*Assumptions!$B$71</f>
        <v/>
      </c>
      <c r="E16" s="47">
        <f>E15*Assumptions!$D$20*Assumptions!$B$71</f>
        <v/>
      </c>
      <c r="F16" s="47">
        <f>F15*Assumptions!$D$20*Assumptions!$B$71</f>
        <v/>
      </c>
      <c r="G16" s="47">
        <f>G15*Assumptions!$D$20*Assumptions!$B$71</f>
        <v/>
      </c>
      <c r="H16" s="47">
        <f>H15*Assumptions!$D$20*Assumptions!$B$71</f>
        <v/>
      </c>
      <c r="I16" s="47">
        <f>I15*Assumptions!$D$20*Assumptions!$B$71</f>
        <v/>
      </c>
      <c r="J16" s="47">
        <f>J15*Assumptions!$D$20*Assumptions!$B$71</f>
        <v/>
      </c>
      <c r="K16" s="47">
        <f>K15*Assumptions!$D$20*Assumptions!$B$71</f>
        <v/>
      </c>
      <c r="L16" s="47">
        <f>L15*Assumptions!$D$20*Assumptions!$B$71</f>
        <v/>
      </c>
      <c r="M16" s="47">
        <f>M15*Assumptions!$D$20*Assumptions!$B$71</f>
        <v/>
      </c>
      <c r="N16" s="48">
        <f>SUM(B16:M16)</f>
        <v/>
      </c>
    </row>
    <row r="17">
      <c r="A17" s="44" t="inlineStr">
        <is>
          <t>Customers</t>
        </is>
      </c>
      <c r="B17" s="47">
        <f>B16*Assumptions!$E$20*Assumptions!$B$72</f>
        <v/>
      </c>
      <c r="C17" s="47">
        <f>C16*Assumptions!$E$20*Assumptions!$B$72</f>
        <v/>
      </c>
      <c r="D17" s="47">
        <f>D16*Assumptions!$E$20*Assumptions!$B$72</f>
        <v/>
      </c>
      <c r="E17" s="47">
        <f>E16*Assumptions!$E$20*Assumptions!$B$72</f>
        <v/>
      </c>
      <c r="F17" s="47">
        <f>F16*Assumptions!$E$20*Assumptions!$B$72</f>
        <v/>
      </c>
      <c r="G17" s="47">
        <f>G16*Assumptions!$E$20*Assumptions!$B$72</f>
        <v/>
      </c>
      <c r="H17" s="47">
        <f>H16*Assumptions!$E$20*Assumptions!$B$72</f>
        <v/>
      </c>
      <c r="I17" s="47">
        <f>I16*Assumptions!$E$20*Assumptions!$B$72</f>
        <v/>
      </c>
      <c r="J17" s="47">
        <f>J16*Assumptions!$E$20*Assumptions!$B$72</f>
        <v/>
      </c>
      <c r="K17" s="47">
        <f>K16*Assumptions!$E$20*Assumptions!$B$72</f>
        <v/>
      </c>
      <c r="L17" s="47">
        <f>L16*Assumptions!$E$20*Assumptions!$B$72</f>
        <v/>
      </c>
      <c r="M17" s="47">
        <f>M16*Assumptions!$E$20*Assumptions!$B$72</f>
        <v/>
      </c>
      <c r="N17" s="48">
        <f>SUM(B17:M17)</f>
        <v/>
      </c>
    </row>
    <row r="18">
      <c r="A18" s="44" t="inlineStr">
        <is>
          <t>Revenue (₹)</t>
        </is>
      </c>
      <c r="B18" s="45">
        <f>B17*Assumptions!$F$20*Assumptions!$B$59</f>
        <v/>
      </c>
      <c r="C18" s="45">
        <f>C17*Assumptions!$F$20*Assumptions!$B$59</f>
        <v/>
      </c>
      <c r="D18" s="45">
        <f>D17*Assumptions!$F$20*Assumptions!$B$59</f>
        <v/>
      </c>
      <c r="E18" s="45">
        <f>E17*Assumptions!$F$20*Assumptions!$B$59</f>
        <v/>
      </c>
      <c r="F18" s="45">
        <f>F17*Assumptions!$F$20*Assumptions!$B$59</f>
        <v/>
      </c>
      <c r="G18" s="45">
        <f>G17*Assumptions!$F$20*Assumptions!$B$59</f>
        <v/>
      </c>
      <c r="H18" s="45">
        <f>H17*Assumptions!$F$20*Assumptions!$B$59</f>
        <v/>
      </c>
      <c r="I18" s="45">
        <f>I17*Assumptions!$F$20*Assumptions!$B$59</f>
        <v/>
      </c>
      <c r="J18" s="45">
        <f>J17*Assumptions!$F$20*Assumptions!$B$59</f>
        <v/>
      </c>
      <c r="K18" s="45">
        <f>K17*Assumptions!$F$20*Assumptions!$B$59</f>
        <v/>
      </c>
      <c r="L18" s="45">
        <f>L17*Assumptions!$F$20*Assumptions!$B$59</f>
        <v/>
      </c>
      <c r="M18" s="45">
        <f>M17*Assumptions!$F$20*Assumptions!$B$59</f>
        <v/>
      </c>
      <c r="N18" s="46">
        <f>SUM(B18:M18)</f>
        <v/>
      </c>
    </row>
    <row r="20" ht="16" customHeight="1">
      <c r="A20" s="43" t="inlineStr">
        <is>
          <t>Facebook Ads</t>
        </is>
      </c>
    </row>
    <row r="21">
      <c r="A21" s="44" t="inlineStr">
        <is>
          <t>Spend (₹)</t>
        </is>
      </c>
      <c r="B21" s="45">
        <f>Assumptions!$B$5*Assumptions!$B$21*Assumptions!B$10/Assumptions!$N$10*Assumptions!$B$59</f>
        <v/>
      </c>
      <c r="C21" s="45">
        <f>Assumptions!$B$5*Assumptions!$B$21*Assumptions!C$10/Assumptions!$N$10*Assumptions!$B$59</f>
        <v/>
      </c>
      <c r="D21" s="45">
        <f>Assumptions!$B$5*Assumptions!$B$21*Assumptions!D$10/Assumptions!$N$10*Assumptions!$B$59</f>
        <v/>
      </c>
      <c r="E21" s="45">
        <f>Assumptions!$B$5*Assumptions!$B$21*Assumptions!E$10/Assumptions!$N$10*Assumptions!$B$59</f>
        <v/>
      </c>
      <c r="F21" s="45">
        <f>Assumptions!$B$5*Assumptions!$B$21*Assumptions!F$10/Assumptions!$N$10*Assumptions!$B$59</f>
        <v/>
      </c>
      <c r="G21" s="45">
        <f>Assumptions!$B$5*Assumptions!$B$21*Assumptions!G$10/Assumptions!$N$10*Assumptions!$B$59</f>
        <v/>
      </c>
      <c r="H21" s="45">
        <f>Assumptions!$B$5*Assumptions!$B$21*Assumptions!H$10/Assumptions!$N$10*Assumptions!$B$59</f>
        <v/>
      </c>
      <c r="I21" s="45">
        <f>Assumptions!$B$5*Assumptions!$B$21*Assumptions!I$10/Assumptions!$N$10*Assumptions!$B$59</f>
        <v/>
      </c>
      <c r="J21" s="45">
        <f>Assumptions!$B$5*Assumptions!$B$21*Assumptions!J$10/Assumptions!$N$10*Assumptions!$B$59</f>
        <v/>
      </c>
      <c r="K21" s="45">
        <f>Assumptions!$B$5*Assumptions!$B$21*Assumptions!K$10/Assumptions!$N$10*Assumptions!$B$59</f>
        <v/>
      </c>
      <c r="L21" s="45">
        <f>Assumptions!$B$5*Assumptions!$B$21*Assumptions!L$10/Assumptions!$N$10*Assumptions!$B$59</f>
        <v/>
      </c>
      <c r="M21" s="45">
        <f>Assumptions!$B$5*Assumptions!$B$21*Assumptions!M$10/Assumptions!$N$10*Assumptions!$B$59</f>
        <v/>
      </c>
      <c r="N21" s="46">
        <f>SUM(B21:M21)</f>
        <v/>
      </c>
    </row>
    <row r="22">
      <c r="A22" s="44" t="inlineStr">
        <is>
          <t>Traffic (Visitors)</t>
        </is>
      </c>
      <c r="B22" s="47">
        <f>IFERROR(B21/(Assumptions!$C$21*Assumptions!$B$59),0)</f>
        <v/>
      </c>
      <c r="C22" s="47">
        <f>IFERROR(C21/(Assumptions!$C$21*Assumptions!$B$59),0)</f>
        <v/>
      </c>
      <c r="D22" s="47">
        <f>IFERROR(D21/(Assumptions!$C$21*Assumptions!$B$59),0)</f>
        <v/>
      </c>
      <c r="E22" s="47">
        <f>IFERROR(E21/(Assumptions!$C$21*Assumptions!$B$59),0)</f>
        <v/>
      </c>
      <c r="F22" s="47">
        <f>IFERROR(F21/(Assumptions!$C$21*Assumptions!$B$59),0)</f>
        <v/>
      </c>
      <c r="G22" s="47">
        <f>IFERROR(G21/(Assumptions!$C$21*Assumptions!$B$59),0)</f>
        <v/>
      </c>
      <c r="H22" s="47">
        <f>IFERROR(H21/(Assumptions!$C$21*Assumptions!$B$59),0)</f>
        <v/>
      </c>
      <c r="I22" s="47">
        <f>IFERROR(I21/(Assumptions!$C$21*Assumptions!$B$59),0)</f>
        <v/>
      </c>
      <c r="J22" s="47">
        <f>IFERROR(J21/(Assumptions!$C$21*Assumptions!$B$59),0)</f>
        <v/>
      </c>
      <c r="K22" s="47">
        <f>IFERROR(K21/(Assumptions!$C$21*Assumptions!$B$59),0)</f>
        <v/>
      </c>
      <c r="L22" s="47">
        <f>IFERROR(L21/(Assumptions!$C$21*Assumptions!$B$59),0)</f>
        <v/>
      </c>
      <c r="M22" s="47">
        <f>IFERROR(M21/(Assumptions!$C$21*Assumptions!$B$59),0)</f>
        <v/>
      </c>
      <c r="N22" s="48">
        <f>SUM(B22:M22)</f>
        <v/>
      </c>
    </row>
    <row r="23">
      <c r="A23" s="44" t="inlineStr">
        <is>
          <t>Leads</t>
        </is>
      </c>
      <c r="B23" s="47">
        <f>B22*Assumptions!$D$21*Assumptions!$B$71</f>
        <v/>
      </c>
      <c r="C23" s="47">
        <f>C22*Assumptions!$D$21*Assumptions!$B$71</f>
        <v/>
      </c>
      <c r="D23" s="47">
        <f>D22*Assumptions!$D$21*Assumptions!$B$71</f>
        <v/>
      </c>
      <c r="E23" s="47">
        <f>E22*Assumptions!$D$21*Assumptions!$B$71</f>
        <v/>
      </c>
      <c r="F23" s="47">
        <f>F22*Assumptions!$D$21*Assumptions!$B$71</f>
        <v/>
      </c>
      <c r="G23" s="47">
        <f>G22*Assumptions!$D$21*Assumptions!$B$71</f>
        <v/>
      </c>
      <c r="H23" s="47">
        <f>H22*Assumptions!$D$21*Assumptions!$B$71</f>
        <v/>
      </c>
      <c r="I23" s="47">
        <f>I22*Assumptions!$D$21*Assumptions!$B$71</f>
        <v/>
      </c>
      <c r="J23" s="47">
        <f>J22*Assumptions!$D$21*Assumptions!$B$71</f>
        <v/>
      </c>
      <c r="K23" s="47">
        <f>K22*Assumptions!$D$21*Assumptions!$B$71</f>
        <v/>
      </c>
      <c r="L23" s="47">
        <f>L22*Assumptions!$D$21*Assumptions!$B$71</f>
        <v/>
      </c>
      <c r="M23" s="47">
        <f>M22*Assumptions!$D$21*Assumptions!$B$71</f>
        <v/>
      </c>
      <c r="N23" s="48">
        <f>SUM(B23:M23)</f>
        <v/>
      </c>
    </row>
    <row r="24">
      <c r="A24" s="44" t="inlineStr">
        <is>
          <t>Customers</t>
        </is>
      </c>
      <c r="B24" s="47">
        <f>B23*Assumptions!$E$21*Assumptions!$B$72</f>
        <v/>
      </c>
      <c r="C24" s="47">
        <f>C23*Assumptions!$E$21*Assumptions!$B$72</f>
        <v/>
      </c>
      <c r="D24" s="47">
        <f>D23*Assumptions!$E$21*Assumptions!$B$72</f>
        <v/>
      </c>
      <c r="E24" s="47">
        <f>E23*Assumptions!$E$21*Assumptions!$B$72</f>
        <v/>
      </c>
      <c r="F24" s="47">
        <f>F23*Assumptions!$E$21*Assumptions!$B$72</f>
        <v/>
      </c>
      <c r="G24" s="47">
        <f>G23*Assumptions!$E$21*Assumptions!$B$72</f>
        <v/>
      </c>
      <c r="H24" s="47">
        <f>H23*Assumptions!$E$21*Assumptions!$B$72</f>
        <v/>
      </c>
      <c r="I24" s="47">
        <f>I23*Assumptions!$E$21*Assumptions!$B$72</f>
        <v/>
      </c>
      <c r="J24" s="47">
        <f>J23*Assumptions!$E$21*Assumptions!$B$72</f>
        <v/>
      </c>
      <c r="K24" s="47">
        <f>K23*Assumptions!$E$21*Assumptions!$B$72</f>
        <v/>
      </c>
      <c r="L24" s="47">
        <f>L23*Assumptions!$E$21*Assumptions!$B$72</f>
        <v/>
      </c>
      <c r="M24" s="47">
        <f>M23*Assumptions!$E$21*Assumptions!$B$72</f>
        <v/>
      </c>
      <c r="N24" s="48">
        <f>SUM(B24:M24)</f>
        <v/>
      </c>
    </row>
    <row r="25">
      <c r="A25" s="44" t="inlineStr">
        <is>
          <t>Revenue (₹)</t>
        </is>
      </c>
      <c r="B25" s="45">
        <f>B24*Assumptions!$F$21*Assumptions!$B$59</f>
        <v/>
      </c>
      <c r="C25" s="45">
        <f>C24*Assumptions!$F$21*Assumptions!$B$59</f>
        <v/>
      </c>
      <c r="D25" s="45">
        <f>D24*Assumptions!$F$21*Assumptions!$B$59</f>
        <v/>
      </c>
      <c r="E25" s="45">
        <f>E24*Assumptions!$F$21*Assumptions!$B$59</f>
        <v/>
      </c>
      <c r="F25" s="45">
        <f>F24*Assumptions!$F$21*Assumptions!$B$59</f>
        <v/>
      </c>
      <c r="G25" s="45">
        <f>G24*Assumptions!$F$21*Assumptions!$B$59</f>
        <v/>
      </c>
      <c r="H25" s="45">
        <f>H24*Assumptions!$F$21*Assumptions!$B$59</f>
        <v/>
      </c>
      <c r="I25" s="45">
        <f>I24*Assumptions!$F$21*Assumptions!$B$59</f>
        <v/>
      </c>
      <c r="J25" s="45">
        <f>J24*Assumptions!$F$21*Assumptions!$B$59</f>
        <v/>
      </c>
      <c r="K25" s="45">
        <f>K24*Assumptions!$F$21*Assumptions!$B$59</f>
        <v/>
      </c>
      <c r="L25" s="45">
        <f>L24*Assumptions!$F$21*Assumptions!$B$59</f>
        <v/>
      </c>
      <c r="M25" s="45">
        <f>M24*Assumptions!$F$21*Assumptions!$B$59</f>
        <v/>
      </c>
      <c r="N25" s="46">
        <f>SUM(B25:M25)</f>
        <v/>
      </c>
    </row>
    <row r="27" ht="16" customHeight="1">
      <c r="A27" s="43" t="inlineStr">
        <is>
          <t>WhatsApp Business</t>
        </is>
      </c>
    </row>
    <row r="28">
      <c r="A28" s="44" t="inlineStr">
        <is>
          <t>Spend (₹)</t>
        </is>
      </c>
      <c r="B28" s="45">
        <f>Assumptions!$B$5*Assumptions!$B$22*Assumptions!B$10/Assumptions!$N$10*Assumptions!$B$59</f>
        <v/>
      </c>
      <c r="C28" s="45">
        <f>Assumptions!$B$5*Assumptions!$B$22*Assumptions!C$10/Assumptions!$N$10*Assumptions!$B$59</f>
        <v/>
      </c>
      <c r="D28" s="45">
        <f>Assumptions!$B$5*Assumptions!$B$22*Assumptions!D$10/Assumptions!$N$10*Assumptions!$B$59</f>
        <v/>
      </c>
      <c r="E28" s="45">
        <f>Assumptions!$B$5*Assumptions!$B$22*Assumptions!E$10/Assumptions!$N$10*Assumptions!$B$59</f>
        <v/>
      </c>
      <c r="F28" s="45">
        <f>Assumptions!$B$5*Assumptions!$B$22*Assumptions!F$10/Assumptions!$N$10*Assumptions!$B$59</f>
        <v/>
      </c>
      <c r="G28" s="45">
        <f>Assumptions!$B$5*Assumptions!$B$22*Assumptions!G$10/Assumptions!$N$10*Assumptions!$B$59</f>
        <v/>
      </c>
      <c r="H28" s="45">
        <f>Assumptions!$B$5*Assumptions!$B$22*Assumptions!H$10/Assumptions!$N$10*Assumptions!$B$59</f>
        <v/>
      </c>
      <c r="I28" s="45">
        <f>Assumptions!$B$5*Assumptions!$B$22*Assumptions!I$10/Assumptions!$N$10*Assumptions!$B$59</f>
        <v/>
      </c>
      <c r="J28" s="45">
        <f>Assumptions!$B$5*Assumptions!$B$22*Assumptions!J$10/Assumptions!$N$10*Assumptions!$B$59</f>
        <v/>
      </c>
      <c r="K28" s="45">
        <f>Assumptions!$B$5*Assumptions!$B$22*Assumptions!K$10/Assumptions!$N$10*Assumptions!$B$59</f>
        <v/>
      </c>
      <c r="L28" s="45">
        <f>Assumptions!$B$5*Assumptions!$B$22*Assumptions!L$10/Assumptions!$N$10*Assumptions!$B$59</f>
        <v/>
      </c>
      <c r="M28" s="45">
        <f>Assumptions!$B$5*Assumptions!$B$22*Assumptions!M$10/Assumptions!$N$10*Assumptions!$B$59</f>
        <v/>
      </c>
      <c r="N28" s="46">
        <f>SUM(B28:M28)</f>
        <v/>
      </c>
    </row>
    <row r="29">
      <c r="A29" s="44" t="inlineStr">
        <is>
          <t>Traffic (Visitors)</t>
        </is>
      </c>
      <c r="B29" s="47">
        <f>IFERROR(B28/(Assumptions!$C$22*Assumptions!$B$59),0)</f>
        <v/>
      </c>
      <c r="C29" s="47">
        <f>IFERROR(C28/(Assumptions!$C$22*Assumptions!$B$59),0)</f>
        <v/>
      </c>
      <c r="D29" s="47">
        <f>IFERROR(D28/(Assumptions!$C$22*Assumptions!$B$59),0)</f>
        <v/>
      </c>
      <c r="E29" s="47">
        <f>IFERROR(E28/(Assumptions!$C$22*Assumptions!$B$59),0)</f>
        <v/>
      </c>
      <c r="F29" s="47">
        <f>IFERROR(F28/(Assumptions!$C$22*Assumptions!$B$59),0)</f>
        <v/>
      </c>
      <c r="G29" s="47">
        <f>IFERROR(G28/(Assumptions!$C$22*Assumptions!$B$59),0)</f>
        <v/>
      </c>
      <c r="H29" s="47">
        <f>IFERROR(H28/(Assumptions!$C$22*Assumptions!$B$59),0)</f>
        <v/>
      </c>
      <c r="I29" s="47">
        <f>IFERROR(I28/(Assumptions!$C$22*Assumptions!$B$59),0)</f>
        <v/>
      </c>
      <c r="J29" s="47">
        <f>IFERROR(J28/(Assumptions!$C$22*Assumptions!$B$59),0)</f>
        <v/>
      </c>
      <c r="K29" s="47">
        <f>IFERROR(K28/(Assumptions!$C$22*Assumptions!$B$59),0)</f>
        <v/>
      </c>
      <c r="L29" s="47">
        <f>IFERROR(L28/(Assumptions!$C$22*Assumptions!$B$59),0)</f>
        <v/>
      </c>
      <c r="M29" s="47">
        <f>IFERROR(M28/(Assumptions!$C$22*Assumptions!$B$59),0)</f>
        <v/>
      </c>
      <c r="N29" s="48">
        <f>SUM(B29:M29)</f>
        <v/>
      </c>
    </row>
    <row r="30">
      <c r="A30" s="44" t="inlineStr">
        <is>
          <t>Leads</t>
        </is>
      </c>
      <c r="B30" s="47">
        <f>B29*Assumptions!$D$22*Assumptions!$B$71</f>
        <v/>
      </c>
      <c r="C30" s="47">
        <f>C29*Assumptions!$D$22*Assumptions!$B$71</f>
        <v/>
      </c>
      <c r="D30" s="47">
        <f>D29*Assumptions!$D$22*Assumptions!$B$71</f>
        <v/>
      </c>
      <c r="E30" s="47">
        <f>E29*Assumptions!$D$22*Assumptions!$B$71</f>
        <v/>
      </c>
      <c r="F30" s="47">
        <f>F29*Assumptions!$D$22*Assumptions!$B$71</f>
        <v/>
      </c>
      <c r="G30" s="47">
        <f>G29*Assumptions!$D$22*Assumptions!$B$71</f>
        <v/>
      </c>
      <c r="H30" s="47">
        <f>H29*Assumptions!$D$22*Assumptions!$B$71</f>
        <v/>
      </c>
      <c r="I30" s="47">
        <f>I29*Assumptions!$D$22*Assumptions!$B$71</f>
        <v/>
      </c>
      <c r="J30" s="47">
        <f>J29*Assumptions!$D$22*Assumptions!$B$71</f>
        <v/>
      </c>
      <c r="K30" s="47">
        <f>K29*Assumptions!$D$22*Assumptions!$B$71</f>
        <v/>
      </c>
      <c r="L30" s="47">
        <f>L29*Assumptions!$D$22*Assumptions!$B$71</f>
        <v/>
      </c>
      <c r="M30" s="47">
        <f>M29*Assumptions!$D$22*Assumptions!$B$71</f>
        <v/>
      </c>
      <c r="N30" s="48">
        <f>SUM(B30:M30)</f>
        <v/>
      </c>
    </row>
    <row r="31">
      <c r="A31" s="44" t="inlineStr">
        <is>
          <t>Customers</t>
        </is>
      </c>
      <c r="B31" s="47">
        <f>B30*Assumptions!$E$22*Assumptions!$B$72</f>
        <v/>
      </c>
      <c r="C31" s="47">
        <f>C30*Assumptions!$E$22*Assumptions!$B$72</f>
        <v/>
      </c>
      <c r="D31" s="47">
        <f>D30*Assumptions!$E$22*Assumptions!$B$72</f>
        <v/>
      </c>
      <c r="E31" s="47">
        <f>E30*Assumptions!$E$22*Assumptions!$B$72</f>
        <v/>
      </c>
      <c r="F31" s="47">
        <f>F30*Assumptions!$E$22*Assumptions!$B$72</f>
        <v/>
      </c>
      <c r="G31" s="47">
        <f>G30*Assumptions!$E$22*Assumptions!$B$72</f>
        <v/>
      </c>
      <c r="H31" s="47">
        <f>H30*Assumptions!$E$22*Assumptions!$B$72</f>
        <v/>
      </c>
      <c r="I31" s="47">
        <f>I30*Assumptions!$E$22*Assumptions!$B$72</f>
        <v/>
      </c>
      <c r="J31" s="47">
        <f>J30*Assumptions!$E$22*Assumptions!$B$72</f>
        <v/>
      </c>
      <c r="K31" s="47">
        <f>K30*Assumptions!$E$22*Assumptions!$B$72</f>
        <v/>
      </c>
      <c r="L31" s="47">
        <f>L30*Assumptions!$E$22*Assumptions!$B$72</f>
        <v/>
      </c>
      <c r="M31" s="47">
        <f>M30*Assumptions!$E$22*Assumptions!$B$72</f>
        <v/>
      </c>
      <c r="N31" s="48">
        <f>SUM(B31:M31)</f>
        <v/>
      </c>
    </row>
    <row r="32">
      <c r="A32" s="44" t="inlineStr">
        <is>
          <t>Revenue (₹)</t>
        </is>
      </c>
      <c r="B32" s="45">
        <f>B31*Assumptions!$F$22*Assumptions!$B$59</f>
        <v/>
      </c>
      <c r="C32" s="45">
        <f>C31*Assumptions!$F$22*Assumptions!$B$59</f>
        <v/>
      </c>
      <c r="D32" s="45">
        <f>D31*Assumptions!$F$22*Assumptions!$B$59</f>
        <v/>
      </c>
      <c r="E32" s="45">
        <f>E31*Assumptions!$F$22*Assumptions!$B$59</f>
        <v/>
      </c>
      <c r="F32" s="45">
        <f>F31*Assumptions!$F$22*Assumptions!$B$59</f>
        <v/>
      </c>
      <c r="G32" s="45">
        <f>G31*Assumptions!$F$22*Assumptions!$B$59</f>
        <v/>
      </c>
      <c r="H32" s="45">
        <f>H31*Assumptions!$F$22*Assumptions!$B$59</f>
        <v/>
      </c>
      <c r="I32" s="45">
        <f>I31*Assumptions!$F$22*Assumptions!$B$59</f>
        <v/>
      </c>
      <c r="J32" s="45">
        <f>J31*Assumptions!$F$22*Assumptions!$B$59</f>
        <v/>
      </c>
      <c r="K32" s="45">
        <f>K31*Assumptions!$F$22*Assumptions!$B$59</f>
        <v/>
      </c>
      <c r="L32" s="45">
        <f>L31*Assumptions!$F$22*Assumptions!$B$59</f>
        <v/>
      </c>
      <c r="M32" s="45">
        <f>M31*Assumptions!$F$22*Assumptions!$B$59</f>
        <v/>
      </c>
      <c r="N32" s="46">
        <f>SUM(B32:M32)</f>
        <v/>
      </c>
    </row>
    <row r="34" ht="16" customHeight="1">
      <c r="A34" s="43" t="inlineStr">
        <is>
          <t>Twitter/X Ads</t>
        </is>
      </c>
    </row>
    <row r="35">
      <c r="A35" s="44" t="inlineStr">
        <is>
          <t>Spend (₹)</t>
        </is>
      </c>
      <c r="B35" s="45">
        <f>Assumptions!$B$5*Assumptions!$B$23*Assumptions!B$10/Assumptions!$N$10*Assumptions!$B$59</f>
        <v/>
      </c>
      <c r="C35" s="45">
        <f>Assumptions!$B$5*Assumptions!$B$23*Assumptions!C$10/Assumptions!$N$10*Assumptions!$B$59</f>
        <v/>
      </c>
      <c r="D35" s="45">
        <f>Assumptions!$B$5*Assumptions!$B$23*Assumptions!D$10/Assumptions!$N$10*Assumptions!$B$59</f>
        <v/>
      </c>
      <c r="E35" s="45">
        <f>Assumptions!$B$5*Assumptions!$B$23*Assumptions!E$10/Assumptions!$N$10*Assumptions!$B$59</f>
        <v/>
      </c>
      <c r="F35" s="45">
        <f>Assumptions!$B$5*Assumptions!$B$23*Assumptions!F$10/Assumptions!$N$10*Assumptions!$B$59</f>
        <v/>
      </c>
      <c r="G35" s="45">
        <f>Assumptions!$B$5*Assumptions!$B$23*Assumptions!G$10/Assumptions!$N$10*Assumptions!$B$59</f>
        <v/>
      </c>
      <c r="H35" s="45">
        <f>Assumptions!$B$5*Assumptions!$B$23*Assumptions!H$10/Assumptions!$N$10*Assumptions!$B$59</f>
        <v/>
      </c>
      <c r="I35" s="45">
        <f>Assumptions!$B$5*Assumptions!$B$23*Assumptions!I$10/Assumptions!$N$10*Assumptions!$B$59</f>
        <v/>
      </c>
      <c r="J35" s="45">
        <f>Assumptions!$B$5*Assumptions!$B$23*Assumptions!J$10/Assumptions!$N$10*Assumptions!$B$59</f>
        <v/>
      </c>
      <c r="K35" s="45">
        <f>Assumptions!$B$5*Assumptions!$B$23*Assumptions!K$10/Assumptions!$N$10*Assumptions!$B$59</f>
        <v/>
      </c>
      <c r="L35" s="45">
        <f>Assumptions!$B$5*Assumptions!$B$23*Assumptions!L$10/Assumptions!$N$10*Assumptions!$B$59</f>
        <v/>
      </c>
      <c r="M35" s="45">
        <f>Assumptions!$B$5*Assumptions!$B$23*Assumptions!M$10/Assumptions!$N$10*Assumptions!$B$59</f>
        <v/>
      </c>
      <c r="N35" s="46">
        <f>SUM(B35:M35)</f>
        <v/>
      </c>
    </row>
    <row r="36">
      <c r="A36" s="44" t="inlineStr">
        <is>
          <t>Traffic (Visitors)</t>
        </is>
      </c>
      <c r="B36" s="47">
        <f>IFERROR(B35/(Assumptions!$C$23*Assumptions!$B$59),0)</f>
        <v/>
      </c>
      <c r="C36" s="47">
        <f>IFERROR(C35/(Assumptions!$C$23*Assumptions!$B$59),0)</f>
        <v/>
      </c>
      <c r="D36" s="47">
        <f>IFERROR(D35/(Assumptions!$C$23*Assumptions!$B$59),0)</f>
        <v/>
      </c>
      <c r="E36" s="47">
        <f>IFERROR(E35/(Assumptions!$C$23*Assumptions!$B$59),0)</f>
        <v/>
      </c>
      <c r="F36" s="47">
        <f>IFERROR(F35/(Assumptions!$C$23*Assumptions!$B$59),0)</f>
        <v/>
      </c>
      <c r="G36" s="47">
        <f>IFERROR(G35/(Assumptions!$C$23*Assumptions!$B$59),0)</f>
        <v/>
      </c>
      <c r="H36" s="47">
        <f>IFERROR(H35/(Assumptions!$C$23*Assumptions!$B$59),0)</f>
        <v/>
      </c>
      <c r="I36" s="47">
        <f>IFERROR(I35/(Assumptions!$C$23*Assumptions!$B$59),0)</f>
        <v/>
      </c>
      <c r="J36" s="47">
        <f>IFERROR(J35/(Assumptions!$C$23*Assumptions!$B$59),0)</f>
        <v/>
      </c>
      <c r="K36" s="47">
        <f>IFERROR(K35/(Assumptions!$C$23*Assumptions!$B$59),0)</f>
        <v/>
      </c>
      <c r="L36" s="47">
        <f>IFERROR(L35/(Assumptions!$C$23*Assumptions!$B$59),0)</f>
        <v/>
      </c>
      <c r="M36" s="47">
        <f>IFERROR(M35/(Assumptions!$C$23*Assumptions!$B$59),0)</f>
        <v/>
      </c>
      <c r="N36" s="48">
        <f>SUM(B36:M36)</f>
        <v/>
      </c>
    </row>
    <row r="37">
      <c r="A37" s="44" t="inlineStr">
        <is>
          <t>Leads</t>
        </is>
      </c>
      <c r="B37" s="47">
        <f>B36*Assumptions!$D$23*Assumptions!$B$71</f>
        <v/>
      </c>
      <c r="C37" s="47">
        <f>C36*Assumptions!$D$23*Assumptions!$B$71</f>
        <v/>
      </c>
      <c r="D37" s="47">
        <f>D36*Assumptions!$D$23*Assumptions!$B$71</f>
        <v/>
      </c>
      <c r="E37" s="47">
        <f>E36*Assumptions!$D$23*Assumptions!$B$71</f>
        <v/>
      </c>
      <c r="F37" s="47">
        <f>F36*Assumptions!$D$23*Assumptions!$B$71</f>
        <v/>
      </c>
      <c r="G37" s="47">
        <f>G36*Assumptions!$D$23*Assumptions!$B$71</f>
        <v/>
      </c>
      <c r="H37" s="47">
        <f>H36*Assumptions!$D$23*Assumptions!$B$71</f>
        <v/>
      </c>
      <c r="I37" s="47">
        <f>I36*Assumptions!$D$23*Assumptions!$B$71</f>
        <v/>
      </c>
      <c r="J37" s="47">
        <f>J36*Assumptions!$D$23*Assumptions!$B$71</f>
        <v/>
      </c>
      <c r="K37" s="47">
        <f>K36*Assumptions!$D$23*Assumptions!$B$71</f>
        <v/>
      </c>
      <c r="L37" s="47">
        <f>L36*Assumptions!$D$23*Assumptions!$B$71</f>
        <v/>
      </c>
      <c r="M37" s="47">
        <f>M36*Assumptions!$D$23*Assumptions!$B$71</f>
        <v/>
      </c>
      <c r="N37" s="48">
        <f>SUM(B37:M37)</f>
        <v/>
      </c>
    </row>
    <row r="38">
      <c r="A38" s="44" t="inlineStr">
        <is>
          <t>Customers</t>
        </is>
      </c>
      <c r="B38" s="47">
        <f>B37*Assumptions!$E$23*Assumptions!$B$72</f>
        <v/>
      </c>
      <c r="C38" s="47">
        <f>C37*Assumptions!$E$23*Assumptions!$B$72</f>
        <v/>
      </c>
      <c r="D38" s="47">
        <f>D37*Assumptions!$E$23*Assumptions!$B$72</f>
        <v/>
      </c>
      <c r="E38" s="47">
        <f>E37*Assumptions!$E$23*Assumptions!$B$72</f>
        <v/>
      </c>
      <c r="F38" s="47">
        <f>F37*Assumptions!$E$23*Assumptions!$B$72</f>
        <v/>
      </c>
      <c r="G38" s="47">
        <f>G37*Assumptions!$E$23*Assumptions!$B$72</f>
        <v/>
      </c>
      <c r="H38" s="47">
        <f>H37*Assumptions!$E$23*Assumptions!$B$72</f>
        <v/>
      </c>
      <c r="I38" s="47">
        <f>I37*Assumptions!$E$23*Assumptions!$B$72</f>
        <v/>
      </c>
      <c r="J38" s="47">
        <f>J37*Assumptions!$E$23*Assumptions!$B$72</f>
        <v/>
      </c>
      <c r="K38" s="47">
        <f>K37*Assumptions!$E$23*Assumptions!$B$72</f>
        <v/>
      </c>
      <c r="L38" s="47">
        <f>L37*Assumptions!$E$23*Assumptions!$B$72</f>
        <v/>
      </c>
      <c r="M38" s="47">
        <f>M37*Assumptions!$E$23*Assumptions!$B$72</f>
        <v/>
      </c>
      <c r="N38" s="48">
        <f>SUM(B38:M38)</f>
        <v/>
      </c>
    </row>
    <row r="39">
      <c r="A39" s="44" t="inlineStr">
        <is>
          <t>Revenue (₹)</t>
        </is>
      </c>
      <c r="B39" s="45">
        <f>B38*Assumptions!$F$23*Assumptions!$B$59</f>
        <v/>
      </c>
      <c r="C39" s="45">
        <f>C38*Assumptions!$F$23*Assumptions!$B$59</f>
        <v/>
      </c>
      <c r="D39" s="45">
        <f>D38*Assumptions!$F$23*Assumptions!$B$59</f>
        <v/>
      </c>
      <c r="E39" s="45">
        <f>E38*Assumptions!$F$23*Assumptions!$B$59</f>
        <v/>
      </c>
      <c r="F39" s="45">
        <f>F38*Assumptions!$F$23*Assumptions!$B$59</f>
        <v/>
      </c>
      <c r="G39" s="45">
        <f>G38*Assumptions!$F$23*Assumptions!$B$59</f>
        <v/>
      </c>
      <c r="H39" s="45">
        <f>H38*Assumptions!$F$23*Assumptions!$B$59</f>
        <v/>
      </c>
      <c r="I39" s="45">
        <f>I38*Assumptions!$F$23*Assumptions!$B$59</f>
        <v/>
      </c>
      <c r="J39" s="45">
        <f>J38*Assumptions!$F$23*Assumptions!$B$59</f>
        <v/>
      </c>
      <c r="K39" s="45">
        <f>K38*Assumptions!$F$23*Assumptions!$B$59</f>
        <v/>
      </c>
      <c r="L39" s="45">
        <f>L38*Assumptions!$F$23*Assumptions!$B$59</f>
        <v/>
      </c>
      <c r="M39" s="45">
        <f>M38*Assumptions!$F$23*Assumptions!$B$59</f>
        <v/>
      </c>
      <c r="N39" s="46">
        <f>SUM(B39:M39)</f>
        <v/>
      </c>
    </row>
    <row r="41" ht="16" customHeight="1">
      <c r="A41" s="43" t="inlineStr">
        <is>
          <t>LinkedIn Ads</t>
        </is>
      </c>
    </row>
    <row r="42">
      <c r="A42" s="44" t="inlineStr">
        <is>
          <t>Spend (₹)</t>
        </is>
      </c>
      <c r="B42" s="45">
        <f>Assumptions!$B$5*Assumptions!$B$24*Assumptions!B$10/Assumptions!$N$10*Assumptions!$B$59</f>
        <v/>
      </c>
      <c r="C42" s="45">
        <f>Assumptions!$B$5*Assumptions!$B$24*Assumptions!C$10/Assumptions!$N$10*Assumptions!$B$59</f>
        <v/>
      </c>
      <c r="D42" s="45">
        <f>Assumptions!$B$5*Assumptions!$B$24*Assumptions!D$10/Assumptions!$N$10*Assumptions!$B$59</f>
        <v/>
      </c>
      <c r="E42" s="45">
        <f>Assumptions!$B$5*Assumptions!$B$24*Assumptions!E$10/Assumptions!$N$10*Assumptions!$B$59</f>
        <v/>
      </c>
      <c r="F42" s="45">
        <f>Assumptions!$B$5*Assumptions!$B$24*Assumptions!F$10/Assumptions!$N$10*Assumptions!$B$59</f>
        <v/>
      </c>
      <c r="G42" s="45">
        <f>Assumptions!$B$5*Assumptions!$B$24*Assumptions!G$10/Assumptions!$N$10*Assumptions!$B$59</f>
        <v/>
      </c>
      <c r="H42" s="45">
        <f>Assumptions!$B$5*Assumptions!$B$24*Assumptions!H$10/Assumptions!$N$10*Assumptions!$B$59</f>
        <v/>
      </c>
      <c r="I42" s="45">
        <f>Assumptions!$B$5*Assumptions!$B$24*Assumptions!I$10/Assumptions!$N$10*Assumptions!$B$59</f>
        <v/>
      </c>
      <c r="J42" s="45">
        <f>Assumptions!$B$5*Assumptions!$B$24*Assumptions!J$10/Assumptions!$N$10*Assumptions!$B$59</f>
        <v/>
      </c>
      <c r="K42" s="45">
        <f>Assumptions!$B$5*Assumptions!$B$24*Assumptions!K$10/Assumptions!$N$10*Assumptions!$B$59</f>
        <v/>
      </c>
      <c r="L42" s="45">
        <f>Assumptions!$B$5*Assumptions!$B$24*Assumptions!L$10/Assumptions!$N$10*Assumptions!$B$59</f>
        <v/>
      </c>
      <c r="M42" s="45">
        <f>Assumptions!$B$5*Assumptions!$B$24*Assumptions!M$10/Assumptions!$N$10*Assumptions!$B$59</f>
        <v/>
      </c>
      <c r="N42" s="46">
        <f>SUM(B42:M42)</f>
        <v/>
      </c>
    </row>
    <row r="43">
      <c r="A43" s="44" t="inlineStr">
        <is>
          <t>Traffic (Visitors)</t>
        </is>
      </c>
      <c r="B43" s="47">
        <f>IFERROR(B42/(Assumptions!$C$24*Assumptions!$B$59),0)</f>
        <v/>
      </c>
      <c r="C43" s="47">
        <f>IFERROR(C42/(Assumptions!$C$24*Assumptions!$B$59),0)</f>
        <v/>
      </c>
      <c r="D43" s="47">
        <f>IFERROR(D42/(Assumptions!$C$24*Assumptions!$B$59),0)</f>
        <v/>
      </c>
      <c r="E43" s="47">
        <f>IFERROR(E42/(Assumptions!$C$24*Assumptions!$B$59),0)</f>
        <v/>
      </c>
      <c r="F43" s="47">
        <f>IFERROR(F42/(Assumptions!$C$24*Assumptions!$B$59),0)</f>
        <v/>
      </c>
      <c r="G43" s="47">
        <f>IFERROR(G42/(Assumptions!$C$24*Assumptions!$B$59),0)</f>
        <v/>
      </c>
      <c r="H43" s="47">
        <f>IFERROR(H42/(Assumptions!$C$24*Assumptions!$B$59),0)</f>
        <v/>
      </c>
      <c r="I43" s="47">
        <f>IFERROR(I42/(Assumptions!$C$24*Assumptions!$B$59),0)</f>
        <v/>
      </c>
      <c r="J43" s="47">
        <f>IFERROR(J42/(Assumptions!$C$24*Assumptions!$B$59),0)</f>
        <v/>
      </c>
      <c r="K43" s="47">
        <f>IFERROR(K42/(Assumptions!$C$24*Assumptions!$B$59),0)</f>
        <v/>
      </c>
      <c r="L43" s="47">
        <f>IFERROR(L42/(Assumptions!$C$24*Assumptions!$B$59),0)</f>
        <v/>
      </c>
      <c r="M43" s="47">
        <f>IFERROR(M42/(Assumptions!$C$24*Assumptions!$B$59),0)</f>
        <v/>
      </c>
      <c r="N43" s="48">
        <f>SUM(B43:M43)</f>
        <v/>
      </c>
    </row>
    <row r="44">
      <c r="A44" s="44" t="inlineStr">
        <is>
          <t>Leads</t>
        </is>
      </c>
      <c r="B44" s="47">
        <f>B43*Assumptions!$D$24*Assumptions!$B$71</f>
        <v/>
      </c>
      <c r="C44" s="47">
        <f>C43*Assumptions!$D$24*Assumptions!$B$71</f>
        <v/>
      </c>
      <c r="D44" s="47">
        <f>D43*Assumptions!$D$24*Assumptions!$B$71</f>
        <v/>
      </c>
      <c r="E44" s="47">
        <f>E43*Assumptions!$D$24*Assumptions!$B$71</f>
        <v/>
      </c>
      <c r="F44" s="47">
        <f>F43*Assumptions!$D$24*Assumptions!$B$71</f>
        <v/>
      </c>
      <c r="G44" s="47">
        <f>G43*Assumptions!$D$24*Assumptions!$B$71</f>
        <v/>
      </c>
      <c r="H44" s="47">
        <f>H43*Assumptions!$D$24*Assumptions!$B$71</f>
        <v/>
      </c>
      <c r="I44" s="47">
        <f>I43*Assumptions!$D$24*Assumptions!$B$71</f>
        <v/>
      </c>
      <c r="J44" s="47">
        <f>J43*Assumptions!$D$24*Assumptions!$B$71</f>
        <v/>
      </c>
      <c r="K44" s="47">
        <f>K43*Assumptions!$D$24*Assumptions!$B$71</f>
        <v/>
      </c>
      <c r="L44" s="47">
        <f>L43*Assumptions!$D$24*Assumptions!$B$71</f>
        <v/>
      </c>
      <c r="M44" s="47">
        <f>M43*Assumptions!$D$24*Assumptions!$B$71</f>
        <v/>
      </c>
      <c r="N44" s="48">
        <f>SUM(B44:M44)</f>
        <v/>
      </c>
    </row>
    <row r="45">
      <c r="A45" s="44" t="inlineStr">
        <is>
          <t>Customers</t>
        </is>
      </c>
      <c r="B45" s="47">
        <f>B44*Assumptions!$E$24*Assumptions!$B$72</f>
        <v/>
      </c>
      <c r="C45" s="47">
        <f>C44*Assumptions!$E$24*Assumptions!$B$72</f>
        <v/>
      </c>
      <c r="D45" s="47">
        <f>D44*Assumptions!$E$24*Assumptions!$B$72</f>
        <v/>
      </c>
      <c r="E45" s="47">
        <f>E44*Assumptions!$E$24*Assumptions!$B$72</f>
        <v/>
      </c>
      <c r="F45" s="47">
        <f>F44*Assumptions!$E$24*Assumptions!$B$72</f>
        <v/>
      </c>
      <c r="G45" s="47">
        <f>G44*Assumptions!$E$24*Assumptions!$B$72</f>
        <v/>
      </c>
      <c r="H45" s="47">
        <f>H44*Assumptions!$E$24*Assumptions!$B$72</f>
        <v/>
      </c>
      <c r="I45" s="47">
        <f>I44*Assumptions!$E$24*Assumptions!$B$72</f>
        <v/>
      </c>
      <c r="J45" s="47">
        <f>J44*Assumptions!$E$24*Assumptions!$B$72</f>
        <v/>
      </c>
      <c r="K45" s="47">
        <f>K44*Assumptions!$E$24*Assumptions!$B$72</f>
        <v/>
      </c>
      <c r="L45" s="47">
        <f>L44*Assumptions!$E$24*Assumptions!$B$72</f>
        <v/>
      </c>
      <c r="M45" s="47">
        <f>M44*Assumptions!$E$24*Assumptions!$B$72</f>
        <v/>
      </c>
      <c r="N45" s="48">
        <f>SUM(B45:M45)</f>
        <v/>
      </c>
    </row>
    <row r="46">
      <c r="A46" s="44" t="inlineStr">
        <is>
          <t>Revenue (₹)</t>
        </is>
      </c>
      <c r="B46" s="45">
        <f>B45*Assumptions!$F$24*Assumptions!$B$59</f>
        <v/>
      </c>
      <c r="C46" s="45">
        <f>C45*Assumptions!$F$24*Assumptions!$B$59</f>
        <v/>
      </c>
      <c r="D46" s="45">
        <f>D45*Assumptions!$F$24*Assumptions!$B$59</f>
        <v/>
      </c>
      <c r="E46" s="45">
        <f>E45*Assumptions!$F$24*Assumptions!$B$59</f>
        <v/>
      </c>
      <c r="F46" s="45">
        <f>F45*Assumptions!$F$24*Assumptions!$B$59</f>
        <v/>
      </c>
      <c r="G46" s="45">
        <f>G45*Assumptions!$F$24*Assumptions!$B$59</f>
        <v/>
      </c>
      <c r="H46" s="45">
        <f>H45*Assumptions!$F$24*Assumptions!$B$59</f>
        <v/>
      </c>
      <c r="I46" s="45">
        <f>I45*Assumptions!$F$24*Assumptions!$B$59</f>
        <v/>
      </c>
      <c r="J46" s="45">
        <f>J45*Assumptions!$F$24*Assumptions!$B$59</f>
        <v/>
      </c>
      <c r="K46" s="45">
        <f>K45*Assumptions!$F$24*Assumptions!$B$59</f>
        <v/>
      </c>
      <c r="L46" s="45">
        <f>L45*Assumptions!$F$24*Assumptions!$B$59</f>
        <v/>
      </c>
      <c r="M46" s="45">
        <f>M45*Assumptions!$F$24*Assumptions!$B$59</f>
        <v/>
      </c>
      <c r="N46" s="46">
        <f>SUM(B46:M46)</f>
        <v/>
      </c>
    </row>
    <row r="48" ht="16" customHeight="1">
      <c r="A48" s="43" t="inlineStr">
        <is>
          <t>Google Display &amp; Discovery</t>
        </is>
      </c>
    </row>
    <row r="49">
      <c r="A49" s="44" t="inlineStr">
        <is>
          <t>Spend (₹)</t>
        </is>
      </c>
      <c r="B49" s="45">
        <f>Assumptions!$B$5*Assumptions!$B$25*Assumptions!B$10/Assumptions!$N$10*Assumptions!$B$59</f>
        <v/>
      </c>
      <c r="C49" s="45">
        <f>Assumptions!$B$5*Assumptions!$B$25*Assumptions!C$10/Assumptions!$N$10*Assumptions!$B$59</f>
        <v/>
      </c>
      <c r="D49" s="45">
        <f>Assumptions!$B$5*Assumptions!$B$25*Assumptions!D$10/Assumptions!$N$10*Assumptions!$B$59</f>
        <v/>
      </c>
      <c r="E49" s="45">
        <f>Assumptions!$B$5*Assumptions!$B$25*Assumptions!E$10/Assumptions!$N$10*Assumptions!$B$59</f>
        <v/>
      </c>
      <c r="F49" s="45">
        <f>Assumptions!$B$5*Assumptions!$B$25*Assumptions!F$10/Assumptions!$N$10*Assumptions!$B$59</f>
        <v/>
      </c>
      <c r="G49" s="45">
        <f>Assumptions!$B$5*Assumptions!$B$25*Assumptions!G$10/Assumptions!$N$10*Assumptions!$B$59</f>
        <v/>
      </c>
      <c r="H49" s="45">
        <f>Assumptions!$B$5*Assumptions!$B$25*Assumptions!H$10/Assumptions!$N$10*Assumptions!$B$59</f>
        <v/>
      </c>
      <c r="I49" s="45">
        <f>Assumptions!$B$5*Assumptions!$B$25*Assumptions!I$10/Assumptions!$N$10*Assumptions!$B$59</f>
        <v/>
      </c>
      <c r="J49" s="45">
        <f>Assumptions!$B$5*Assumptions!$B$25*Assumptions!J$10/Assumptions!$N$10*Assumptions!$B$59</f>
        <v/>
      </c>
      <c r="K49" s="45">
        <f>Assumptions!$B$5*Assumptions!$B$25*Assumptions!K$10/Assumptions!$N$10*Assumptions!$B$59</f>
        <v/>
      </c>
      <c r="L49" s="45">
        <f>Assumptions!$B$5*Assumptions!$B$25*Assumptions!L$10/Assumptions!$N$10*Assumptions!$B$59</f>
        <v/>
      </c>
      <c r="M49" s="45">
        <f>Assumptions!$B$5*Assumptions!$B$25*Assumptions!M$10/Assumptions!$N$10*Assumptions!$B$59</f>
        <v/>
      </c>
      <c r="N49" s="46">
        <f>SUM(B49:M49)</f>
        <v/>
      </c>
    </row>
    <row r="50">
      <c r="A50" s="44" t="inlineStr">
        <is>
          <t>Traffic (Visitors)</t>
        </is>
      </c>
      <c r="B50" s="47">
        <f>IFERROR(B49/(Assumptions!$C$25*Assumptions!$B$59),0)</f>
        <v/>
      </c>
      <c r="C50" s="47">
        <f>IFERROR(C49/(Assumptions!$C$25*Assumptions!$B$59),0)</f>
        <v/>
      </c>
      <c r="D50" s="47">
        <f>IFERROR(D49/(Assumptions!$C$25*Assumptions!$B$59),0)</f>
        <v/>
      </c>
      <c r="E50" s="47">
        <f>IFERROR(E49/(Assumptions!$C$25*Assumptions!$B$59),0)</f>
        <v/>
      </c>
      <c r="F50" s="47">
        <f>IFERROR(F49/(Assumptions!$C$25*Assumptions!$B$59),0)</f>
        <v/>
      </c>
      <c r="G50" s="47">
        <f>IFERROR(G49/(Assumptions!$C$25*Assumptions!$B$59),0)</f>
        <v/>
      </c>
      <c r="H50" s="47">
        <f>IFERROR(H49/(Assumptions!$C$25*Assumptions!$B$59),0)</f>
        <v/>
      </c>
      <c r="I50" s="47">
        <f>IFERROR(I49/(Assumptions!$C$25*Assumptions!$B$59),0)</f>
        <v/>
      </c>
      <c r="J50" s="47">
        <f>IFERROR(J49/(Assumptions!$C$25*Assumptions!$B$59),0)</f>
        <v/>
      </c>
      <c r="K50" s="47">
        <f>IFERROR(K49/(Assumptions!$C$25*Assumptions!$B$59),0)</f>
        <v/>
      </c>
      <c r="L50" s="47">
        <f>IFERROR(L49/(Assumptions!$C$25*Assumptions!$B$59),0)</f>
        <v/>
      </c>
      <c r="M50" s="47">
        <f>IFERROR(M49/(Assumptions!$C$25*Assumptions!$B$59),0)</f>
        <v/>
      </c>
      <c r="N50" s="48">
        <f>SUM(B50:M50)</f>
        <v/>
      </c>
    </row>
    <row r="51">
      <c r="A51" s="44" t="inlineStr">
        <is>
          <t>Leads</t>
        </is>
      </c>
      <c r="B51" s="47">
        <f>B50*Assumptions!$D$25*Assumptions!$B$71</f>
        <v/>
      </c>
      <c r="C51" s="47">
        <f>C50*Assumptions!$D$25*Assumptions!$B$71</f>
        <v/>
      </c>
      <c r="D51" s="47">
        <f>D50*Assumptions!$D$25*Assumptions!$B$71</f>
        <v/>
      </c>
      <c r="E51" s="47">
        <f>E50*Assumptions!$D$25*Assumptions!$B$71</f>
        <v/>
      </c>
      <c r="F51" s="47">
        <f>F50*Assumptions!$D$25*Assumptions!$B$71</f>
        <v/>
      </c>
      <c r="G51" s="47">
        <f>G50*Assumptions!$D$25*Assumptions!$B$71</f>
        <v/>
      </c>
      <c r="H51" s="47">
        <f>H50*Assumptions!$D$25*Assumptions!$B$71</f>
        <v/>
      </c>
      <c r="I51" s="47">
        <f>I50*Assumptions!$D$25*Assumptions!$B$71</f>
        <v/>
      </c>
      <c r="J51" s="47">
        <f>J50*Assumptions!$D$25*Assumptions!$B$71</f>
        <v/>
      </c>
      <c r="K51" s="47">
        <f>K50*Assumptions!$D$25*Assumptions!$B$71</f>
        <v/>
      </c>
      <c r="L51" s="47">
        <f>L50*Assumptions!$D$25*Assumptions!$B$71</f>
        <v/>
      </c>
      <c r="M51" s="47">
        <f>M50*Assumptions!$D$25*Assumptions!$B$71</f>
        <v/>
      </c>
      <c r="N51" s="48">
        <f>SUM(B51:M51)</f>
        <v/>
      </c>
    </row>
    <row r="52">
      <c r="A52" s="44" t="inlineStr">
        <is>
          <t>Customers</t>
        </is>
      </c>
      <c r="B52" s="47">
        <f>B51*Assumptions!$E$25*Assumptions!$B$72</f>
        <v/>
      </c>
      <c r="C52" s="47">
        <f>C51*Assumptions!$E$25*Assumptions!$B$72</f>
        <v/>
      </c>
      <c r="D52" s="47">
        <f>D51*Assumptions!$E$25*Assumptions!$B$72</f>
        <v/>
      </c>
      <c r="E52" s="47">
        <f>E51*Assumptions!$E$25*Assumptions!$B$72</f>
        <v/>
      </c>
      <c r="F52" s="47">
        <f>F51*Assumptions!$E$25*Assumptions!$B$72</f>
        <v/>
      </c>
      <c r="G52" s="47">
        <f>G51*Assumptions!$E$25*Assumptions!$B$72</f>
        <v/>
      </c>
      <c r="H52" s="47">
        <f>H51*Assumptions!$E$25*Assumptions!$B$72</f>
        <v/>
      </c>
      <c r="I52" s="47">
        <f>I51*Assumptions!$E$25*Assumptions!$B$72</f>
        <v/>
      </c>
      <c r="J52" s="47">
        <f>J51*Assumptions!$E$25*Assumptions!$B$72</f>
        <v/>
      </c>
      <c r="K52" s="47">
        <f>K51*Assumptions!$E$25*Assumptions!$B$72</f>
        <v/>
      </c>
      <c r="L52" s="47">
        <f>L51*Assumptions!$E$25*Assumptions!$B$72</f>
        <v/>
      </c>
      <c r="M52" s="47">
        <f>M51*Assumptions!$E$25*Assumptions!$B$72</f>
        <v/>
      </c>
      <c r="N52" s="48">
        <f>SUM(B52:M52)</f>
        <v/>
      </c>
    </row>
    <row r="53">
      <c r="A53" s="44" t="inlineStr">
        <is>
          <t>Revenue (₹)</t>
        </is>
      </c>
      <c r="B53" s="45">
        <f>B52*Assumptions!$F$25*Assumptions!$B$59</f>
        <v/>
      </c>
      <c r="C53" s="45">
        <f>C52*Assumptions!$F$25*Assumptions!$B$59</f>
        <v/>
      </c>
      <c r="D53" s="45">
        <f>D52*Assumptions!$F$25*Assumptions!$B$59</f>
        <v/>
      </c>
      <c r="E53" s="45">
        <f>E52*Assumptions!$F$25*Assumptions!$B$59</f>
        <v/>
      </c>
      <c r="F53" s="45">
        <f>F52*Assumptions!$F$25*Assumptions!$B$59</f>
        <v/>
      </c>
      <c r="G53" s="45">
        <f>G52*Assumptions!$F$25*Assumptions!$B$59</f>
        <v/>
      </c>
      <c r="H53" s="45">
        <f>H52*Assumptions!$F$25*Assumptions!$B$59</f>
        <v/>
      </c>
      <c r="I53" s="45">
        <f>I52*Assumptions!$F$25*Assumptions!$B$59</f>
        <v/>
      </c>
      <c r="J53" s="45">
        <f>J52*Assumptions!$F$25*Assumptions!$B$59</f>
        <v/>
      </c>
      <c r="K53" s="45">
        <f>K52*Assumptions!$F$25*Assumptions!$B$59</f>
        <v/>
      </c>
      <c r="L53" s="45">
        <f>L52*Assumptions!$F$25*Assumptions!$B$59</f>
        <v/>
      </c>
      <c r="M53" s="45">
        <f>M52*Assumptions!$F$25*Assumptions!$B$59</f>
        <v/>
      </c>
      <c r="N53" s="46">
        <f>SUM(B53:M53)</f>
        <v/>
      </c>
    </row>
    <row r="55" ht="16" customHeight="1">
      <c r="A55" s="43" t="inlineStr">
        <is>
          <t>YouTube Ads</t>
        </is>
      </c>
    </row>
    <row r="56">
      <c r="A56" s="44" t="inlineStr">
        <is>
          <t>Spend (₹)</t>
        </is>
      </c>
      <c r="B56" s="45">
        <f>Assumptions!$B$5*Assumptions!$B$26*Assumptions!B$10/Assumptions!$N$10*Assumptions!$B$59</f>
        <v/>
      </c>
      <c r="C56" s="45">
        <f>Assumptions!$B$5*Assumptions!$B$26*Assumptions!C$10/Assumptions!$N$10*Assumptions!$B$59</f>
        <v/>
      </c>
      <c r="D56" s="45">
        <f>Assumptions!$B$5*Assumptions!$B$26*Assumptions!D$10/Assumptions!$N$10*Assumptions!$B$59</f>
        <v/>
      </c>
      <c r="E56" s="45">
        <f>Assumptions!$B$5*Assumptions!$B$26*Assumptions!E$10/Assumptions!$N$10*Assumptions!$B$59</f>
        <v/>
      </c>
      <c r="F56" s="45">
        <f>Assumptions!$B$5*Assumptions!$B$26*Assumptions!F$10/Assumptions!$N$10*Assumptions!$B$59</f>
        <v/>
      </c>
      <c r="G56" s="45">
        <f>Assumptions!$B$5*Assumptions!$B$26*Assumptions!G$10/Assumptions!$N$10*Assumptions!$B$59</f>
        <v/>
      </c>
      <c r="H56" s="45">
        <f>Assumptions!$B$5*Assumptions!$B$26*Assumptions!H$10/Assumptions!$N$10*Assumptions!$B$59</f>
        <v/>
      </c>
      <c r="I56" s="45">
        <f>Assumptions!$B$5*Assumptions!$B$26*Assumptions!I$10/Assumptions!$N$10*Assumptions!$B$59</f>
        <v/>
      </c>
      <c r="J56" s="45">
        <f>Assumptions!$B$5*Assumptions!$B$26*Assumptions!J$10/Assumptions!$N$10*Assumptions!$B$59</f>
        <v/>
      </c>
      <c r="K56" s="45">
        <f>Assumptions!$B$5*Assumptions!$B$26*Assumptions!K$10/Assumptions!$N$10*Assumptions!$B$59</f>
        <v/>
      </c>
      <c r="L56" s="45">
        <f>Assumptions!$B$5*Assumptions!$B$26*Assumptions!L$10/Assumptions!$N$10*Assumptions!$B$59</f>
        <v/>
      </c>
      <c r="M56" s="45">
        <f>Assumptions!$B$5*Assumptions!$B$26*Assumptions!M$10/Assumptions!$N$10*Assumptions!$B$59</f>
        <v/>
      </c>
      <c r="N56" s="46">
        <f>SUM(B56:M56)</f>
        <v/>
      </c>
    </row>
    <row r="57">
      <c r="A57" s="44" t="inlineStr">
        <is>
          <t>Traffic (Visitors)</t>
        </is>
      </c>
      <c r="B57" s="47">
        <f>IFERROR(B56/(Assumptions!$C$26*Assumptions!$B$59),0)</f>
        <v/>
      </c>
      <c r="C57" s="47">
        <f>IFERROR(C56/(Assumptions!$C$26*Assumptions!$B$59),0)</f>
        <v/>
      </c>
      <c r="D57" s="47">
        <f>IFERROR(D56/(Assumptions!$C$26*Assumptions!$B$59),0)</f>
        <v/>
      </c>
      <c r="E57" s="47">
        <f>IFERROR(E56/(Assumptions!$C$26*Assumptions!$B$59),0)</f>
        <v/>
      </c>
      <c r="F57" s="47">
        <f>IFERROR(F56/(Assumptions!$C$26*Assumptions!$B$59),0)</f>
        <v/>
      </c>
      <c r="G57" s="47">
        <f>IFERROR(G56/(Assumptions!$C$26*Assumptions!$B$59),0)</f>
        <v/>
      </c>
      <c r="H57" s="47">
        <f>IFERROR(H56/(Assumptions!$C$26*Assumptions!$B$59),0)</f>
        <v/>
      </c>
      <c r="I57" s="47">
        <f>IFERROR(I56/(Assumptions!$C$26*Assumptions!$B$59),0)</f>
        <v/>
      </c>
      <c r="J57" s="47">
        <f>IFERROR(J56/(Assumptions!$C$26*Assumptions!$B$59),0)</f>
        <v/>
      </c>
      <c r="K57" s="47">
        <f>IFERROR(K56/(Assumptions!$C$26*Assumptions!$B$59),0)</f>
        <v/>
      </c>
      <c r="L57" s="47">
        <f>IFERROR(L56/(Assumptions!$C$26*Assumptions!$B$59),0)</f>
        <v/>
      </c>
      <c r="M57" s="47">
        <f>IFERROR(M56/(Assumptions!$C$26*Assumptions!$B$59),0)</f>
        <v/>
      </c>
      <c r="N57" s="48">
        <f>SUM(B57:M57)</f>
        <v/>
      </c>
    </row>
    <row r="58">
      <c r="A58" s="44" t="inlineStr">
        <is>
          <t>Leads</t>
        </is>
      </c>
      <c r="B58" s="47">
        <f>B57*Assumptions!$D$26*Assumptions!$B$71</f>
        <v/>
      </c>
      <c r="C58" s="47">
        <f>C57*Assumptions!$D$26*Assumptions!$B$71</f>
        <v/>
      </c>
      <c r="D58" s="47">
        <f>D57*Assumptions!$D$26*Assumptions!$B$71</f>
        <v/>
      </c>
      <c r="E58" s="47">
        <f>E57*Assumptions!$D$26*Assumptions!$B$71</f>
        <v/>
      </c>
      <c r="F58" s="47">
        <f>F57*Assumptions!$D$26*Assumptions!$B$71</f>
        <v/>
      </c>
      <c r="G58" s="47">
        <f>G57*Assumptions!$D$26*Assumptions!$B$71</f>
        <v/>
      </c>
      <c r="H58" s="47">
        <f>H57*Assumptions!$D$26*Assumptions!$B$71</f>
        <v/>
      </c>
      <c r="I58" s="47">
        <f>I57*Assumptions!$D$26*Assumptions!$B$71</f>
        <v/>
      </c>
      <c r="J58" s="47">
        <f>J57*Assumptions!$D$26*Assumptions!$B$71</f>
        <v/>
      </c>
      <c r="K58" s="47">
        <f>K57*Assumptions!$D$26*Assumptions!$B$71</f>
        <v/>
      </c>
      <c r="L58" s="47">
        <f>L57*Assumptions!$D$26*Assumptions!$B$71</f>
        <v/>
      </c>
      <c r="M58" s="47">
        <f>M57*Assumptions!$D$26*Assumptions!$B$71</f>
        <v/>
      </c>
      <c r="N58" s="48">
        <f>SUM(B58:M58)</f>
        <v/>
      </c>
    </row>
    <row r="59">
      <c r="A59" s="44" t="inlineStr">
        <is>
          <t>Customers</t>
        </is>
      </c>
      <c r="B59" s="47">
        <f>B58*Assumptions!$E$26*Assumptions!$B$72</f>
        <v/>
      </c>
      <c r="C59" s="47">
        <f>C58*Assumptions!$E$26*Assumptions!$B$72</f>
        <v/>
      </c>
      <c r="D59" s="47">
        <f>D58*Assumptions!$E$26*Assumptions!$B$72</f>
        <v/>
      </c>
      <c r="E59" s="47">
        <f>E58*Assumptions!$E$26*Assumptions!$B$72</f>
        <v/>
      </c>
      <c r="F59" s="47">
        <f>F58*Assumptions!$E$26*Assumptions!$B$72</f>
        <v/>
      </c>
      <c r="G59" s="47">
        <f>G58*Assumptions!$E$26*Assumptions!$B$72</f>
        <v/>
      </c>
      <c r="H59" s="47">
        <f>H58*Assumptions!$E$26*Assumptions!$B$72</f>
        <v/>
      </c>
      <c r="I59" s="47">
        <f>I58*Assumptions!$E$26*Assumptions!$B$72</f>
        <v/>
      </c>
      <c r="J59" s="47">
        <f>J58*Assumptions!$E$26*Assumptions!$B$72</f>
        <v/>
      </c>
      <c r="K59" s="47">
        <f>K58*Assumptions!$E$26*Assumptions!$B$72</f>
        <v/>
      </c>
      <c r="L59" s="47">
        <f>L58*Assumptions!$E$26*Assumptions!$B$72</f>
        <v/>
      </c>
      <c r="M59" s="47">
        <f>M58*Assumptions!$E$26*Assumptions!$B$72</f>
        <v/>
      </c>
      <c r="N59" s="48">
        <f>SUM(B59:M59)</f>
        <v/>
      </c>
    </row>
    <row r="60">
      <c r="A60" s="44" t="inlineStr">
        <is>
          <t>Revenue (₹)</t>
        </is>
      </c>
      <c r="B60" s="45">
        <f>B59*Assumptions!$F$26*Assumptions!$B$59</f>
        <v/>
      </c>
      <c r="C60" s="45">
        <f>C59*Assumptions!$F$26*Assumptions!$B$59</f>
        <v/>
      </c>
      <c r="D60" s="45">
        <f>D59*Assumptions!$F$26*Assumptions!$B$59</f>
        <v/>
      </c>
      <c r="E60" s="45">
        <f>E59*Assumptions!$F$26*Assumptions!$B$59</f>
        <v/>
      </c>
      <c r="F60" s="45">
        <f>F59*Assumptions!$F$26*Assumptions!$B$59</f>
        <v/>
      </c>
      <c r="G60" s="45">
        <f>G59*Assumptions!$F$26*Assumptions!$B$59</f>
        <v/>
      </c>
      <c r="H60" s="45">
        <f>H59*Assumptions!$F$26*Assumptions!$B$59</f>
        <v/>
      </c>
      <c r="I60" s="45">
        <f>I59*Assumptions!$F$26*Assumptions!$B$59</f>
        <v/>
      </c>
      <c r="J60" s="45">
        <f>J59*Assumptions!$F$26*Assumptions!$B$59</f>
        <v/>
      </c>
      <c r="K60" s="45">
        <f>K59*Assumptions!$F$26*Assumptions!$B$59</f>
        <v/>
      </c>
      <c r="L60" s="45">
        <f>L59*Assumptions!$F$26*Assumptions!$B$59</f>
        <v/>
      </c>
      <c r="M60" s="45">
        <f>M59*Assumptions!$F$26*Assumptions!$B$59</f>
        <v/>
      </c>
      <c r="N60" s="46">
        <f>SUM(B60:M60)</f>
        <v/>
      </c>
    </row>
    <row r="62" ht="16" customHeight="1">
      <c r="A62" s="43" t="inlineStr">
        <is>
          <t>Amazon Ads</t>
        </is>
      </c>
    </row>
    <row r="63">
      <c r="A63" s="44" t="inlineStr">
        <is>
          <t>Spend (₹)</t>
        </is>
      </c>
      <c r="B63" s="45">
        <f>Assumptions!$B$5*Assumptions!$B$27*Assumptions!B$10/Assumptions!$N$10*Assumptions!$B$59</f>
        <v/>
      </c>
      <c r="C63" s="45">
        <f>Assumptions!$B$5*Assumptions!$B$27*Assumptions!C$10/Assumptions!$N$10*Assumptions!$B$59</f>
        <v/>
      </c>
      <c r="D63" s="45">
        <f>Assumptions!$B$5*Assumptions!$B$27*Assumptions!D$10/Assumptions!$N$10*Assumptions!$B$59</f>
        <v/>
      </c>
      <c r="E63" s="45">
        <f>Assumptions!$B$5*Assumptions!$B$27*Assumptions!E$10/Assumptions!$N$10*Assumptions!$B$59</f>
        <v/>
      </c>
      <c r="F63" s="45">
        <f>Assumptions!$B$5*Assumptions!$B$27*Assumptions!F$10/Assumptions!$N$10*Assumptions!$B$59</f>
        <v/>
      </c>
      <c r="G63" s="45">
        <f>Assumptions!$B$5*Assumptions!$B$27*Assumptions!G$10/Assumptions!$N$10*Assumptions!$B$59</f>
        <v/>
      </c>
      <c r="H63" s="45">
        <f>Assumptions!$B$5*Assumptions!$B$27*Assumptions!H$10/Assumptions!$N$10*Assumptions!$B$59</f>
        <v/>
      </c>
      <c r="I63" s="45">
        <f>Assumptions!$B$5*Assumptions!$B$27*Assumptions!I$10/Assumptions!$N$10*Assumptions!$B$59</f>
        <v/>
      </c>
      <c r="J63" s="45">
        <f>Assumptions!$B$5*Assumptions!$B$27*Assumptions!J$10/Assumptions!$N$10*Assumptions!$B$59</f>
        <v/>
      </c>
      <c r="K63" s="45">
        <f>Assumptions!$B$5*Assumptions!$B$27*Assumptions!K$10/Assumptions!$N$10*Assumptions!$B$59</f>
        <v/>
      </c>
      <c r="L63" s="45">
        <f>Assumptions!$B$5*Assumptions!$B$27*Assumptions!L$10/Assumptions!$N$10*Assumptions!$B$59</f>
        <v/>
      </c>
      <c r="M63" s="45">
        <f>Assumptions!$B$5*Assumptions!$B$27*Assumptions!M$10/Assumptions!$N$10*Assumptions!$B$59</f>
        <v/>
      </c>
      <c r="N63" s="46">
        <f>SUM(B63:M63)</f>
        <v/>
      </c>
    </row>
    <row r="64">
      <c r="A64" s="44" t="inlineStr">
        <is>
          <t>Traffic (Visitors)</t>
        </is>
      </c>
      <c r="B64" s="47">
        <f>IFERROR(B63/(Assumptions!$C$27*Assumptions!$B$59),0)</f>
        <v/>
      </c>
      <c r="C64" s="47">
        <f>IFERROR(C63/(Assumptions!$C$27*Assumptions!$B$59),0)</f>
        <v/>
      </c>
      <c r="D64" s="47">
        <f>IFERROR(D63/(Assumptions!$C$27*Assumptions!$B$59),0)</f>
        <v/>
      </c>
      <c r="E64" s="47">
        <f>IFERROR(E63/(Assumptions!$C$27*Assumptions!$B$59),0)</f>
        <v/>
      </c>
      <c r="F64" s="47">
        <f>IFERROR(F63/(Assumptions!$C$27*Assumptions!$B$59),0)</f>
        <v/>
      </c>
      <c r="G64" s="47">
        <f>IFERROR(G63/(Assumptions!$C$27*Assumptions!$B$59),0)</f>
        <v/>
      </c>
      <c r="H64" s="47">
        <f>IFERROR(H63/(Assumptions!$C$27*Assumptions!$B$59),0)</f>
        <v/>
      </c>
      <c r="I64" s="47">
        <f>IFERROR(I63/(Assumptions!$C$27*Assumptions!$B$59),0)</f>
        <v/>
      </c>
      <c r="J64" s="47">
        <f>IFERROR(J63/(Assumptions!$C$27*Assumptions!$B$59),0)</f>
        <v/>
      </c>
      <c r="K64" s="47">
        <f>IFERROR(K63/(Assumptions!$C$27*Assumptions!$B$59),0)</f>
        <v/>
      </c>
      <c r="L64" s="47">
        <f>IFERROR(L63/(Assumptions!$C$27*Assumptions!$B$59),0)</f>
        <v/>
      </c>
      <c r="M64" s="47">
        <f>IFERROR(M63/(Assumptions!$C$27*Assumptions!$B$59),0)</f>
        <v/>
      </c>
      <c r="N64" s="48">
        <f>SUM(B64:M64)</f>
        <v/>
      </c>
    </row>
    <row r="65">
      <c r="A65" s="44" t="inlineStr">
        <is>
          <t>Leads</t>
        </is>
      </c>
      <c r="B65" s="47">
        <f>B64*Assumptions!$D$27*Assumptions!$B$71</f>
        <v/>
      </c>
      <c r="C65" s="47">
        <f>C64*Assumptions!$D$27*Assumptions!$B$71</f>
        <v/>
      </c>
      <c r="D65" s="47">
        <f>D64*Assumptions!$D$27*Assumptions!$B$71</f>
        <v/>
      </c>
      <c r="E65" s="47">
        <f>E64*Assumptions!$D$27*Assumptions!$B$71</f>
        <v/>
      </c>
      <c r="F65" s="47">
        <f>F64*Assumptions!$D$27*Assumptions!$B$71</f>
        <v/>
      </c>
      <c r="G65" s="47">
        <f>G64*Assumptions!$D$27*Assumptions!$B$71</f>
        <v/>
      </c>
      <c r="H65" s="47">
        <f>H64*Assumptions!$D$27*Assumptions!$B$71</f>
        <v/>
      </c>
      <c r="I65" s="47">
        <f>I64*Assumptions!$D$27*Assumptions!$B$71</f>
        <v/>
      </c>
      <c r="J65" s="47">
        <f>J64*Assumptions!$D$27*Assumptions!$B$71</f>
        <v/>
      </c>
      <c r="K65" s="47">
        <f>K64*Assumptions!$D$27*Assumptions!$B$71</f>
        <v/>
      </c>
      <c r="L65" s="47">
        <f>L64*Assumptions!$D$27*Assumptions!$B$71</f>
        <v/>
      </c>
      <c r="M65" s="47">
        <f>M64*Assumptions!$D$27*Assumptions!$B$71</f>
        <v/>
      </c>
      <c r="N65" s="48">
        <f>SUM(B65:M65)</f>
        <v/>
      </c>
    </row>
    <row r="66">
      <c r="A66" s="44" t="inlineStr">
        <is>
          <t>Customers</t>
        </is>
      </c>
      <c r="B66" s="47">
        <f>B65*Assumptions!$E$27*Assumptions!$B$72</f>
        <v/>
      </c>
      <c r="C66" s="47">
        <f>C65*Assumptions!$E$27*Assumptions!$B$72</f>
        <v/>
      </c>
      <c r="D66" s="47">
        <f>D65*Assumptions!$E$27*Assumptions!$B$72</f>
        <v/>
      </c>
      <c r="E66" s="47">
        <f>E65*Assumptions!$E$27*Assumptions!$B$72</f>
        <v/>
      </c>
      <c r="F66" s="47">
        <f>F65*Assumptions!$E$27*Assumptions!$B$72</f>
        <v/>
      </c>
      <c r="G66" s="47">
        <f>G65*Assumptions!$E$27*Assumptions!$B$72</f>
        <v/>
      </c>
      <c r="H66" s="47">
        <f>H65*Assumptions!$E$27*Assumptions!$B$72</f>
        <v/>
      </c>
      <c r="I66" s="47">
        <f>I65*Assumptions!$E$27*Assumptions!$B$72</f>
        <v/>
      </c>
      <c r="J66" s="47">
        <f>J65*Assumptions!$E$27*Assumptions!$B$72</f>
        <v/>
      </c>
      <c r="K66" s="47">
        <f>K65*Assumptions!$E$27*Assumptions!$B$72</f>
        <v/>
      </c>
      <c r="L66" s="47">
        <f>L65*Assumptions!$E$27*Assumptions!$B$72</f>
        <v/>
      </c>
      <c r="M66" s="47">
        <f>M65*Assumptions!$E$27*Assumptions!$B$72</f>
        <v/>
      </c>
      <c r="N66" s="48">
        <f>SUM(B66:M66)</f>
        <v/>
      </c>
    </row>
    <row r="67">
      <c r="A67" s="44" t="inlineStr">
        <is>
          <t>Revenue (₹)</t>
        </is>
      </c>
      <c r="B67" s="45">
        <f>B66*Assumptions!$F$27*Assumptions!$B$59</f>
        <v/>
      </c>
      <c r="C67" s="45">
        <f>C66*Assumptions!$F$27*Assumptions!$B$59</f>
        <v/>
      </c>
      <c r="D67" s="45">
        <f>D66*Assumptions!$F$27*Assumptions!$B$59</f>
        <v/>
      </c>
      <c r="E67" s="45">
        <f>E66*Assumptions!$F$27*Assumptions!$B$59</f>
        <v/>
      </c>
      <c r="F67" s="45">
        <f>F66*Assumptions!$F$27*Assumptions!$B$59</f>
        <v/>
      </c>
      <c r="G67" s="45">
        <f>G66*Assumptions!$F$27*Assumptions!$B$59</f>
        <v/>
      </c>
      <c r="H67" s="45">
        <f>H66*Assumptions!$F$27*Assumptions!$B$59</f>
        <v/>
      </c>
      <c r="I67" s="45">
        <f>I66*Assumptions!$F$27*Assumptions!$B$59</f>
        <v/>
      </c>
      <c r="J67" s="45">
        <f>J66*Assumptions!$F$27*Assumptions!$B$59</f>
        <v/>
      </c>
      <c r="K67" s="45">
        <f>K66*Assumptions!$F$27*Assumptions!$B$59</f>
        <v/>
      </c>
      <c r="L67" s="45">
        <f>L66*Assumptions!$F$27*Assumptions!$B$59</f>
        <v/>
      </c>
      <c r="M67" s="45">
        <f>M66*Assumptions!$F$27*Assumptions!$B$59</f>
        <v/>
      </c>
      <c r="N67" s="46">
        <f>SUM(B67:M67)</f>
        <v/>
      </c>
    </row>
    <row r="69" ht="16" customHeight="1">
      <c r="A69" s="43" t="inlineStr">
        <is>
          <t>Other Social/Display</t>
        </is>
      </c>
    </row>
    <row r="70">
      <c r="A70" s="44" t="inlineStr">
        <is>
          <t>Spend (₹)</t>
        </is>
      </c>
      <c r="B70" s="45">
        <f>Assumptions!$B$5*Assumptions!$B$28*Assumptions!B$10/Assumptions!$N$10*Assumptions!$B$59</f>
        <v/>
      </c>
      <c r="C70" s="45">
        <f>Assumptions!$B$5*Assumptions!$B$28*Assumptions!C$10/Assumptions!$N$10*Assumptions!$B$59</f>
        <v/>
      </c>
      <c r="D70" s="45">
        <f>Assumptions!$B$5*Assumptions!$B$28*Assumptions!D$10/Assumptions!$N$10*Assumptions!$B$59</f>
        <v/>
      </c>
      <c r="E70" s="45">
        <f>Assumptions!$B$5*Assumptions!$B$28*Assumptions!E$10/Assumptions!$N$10*Assumptions!$B$59</f>
        <v/>
      </c>
      <c r="F70" s="45">
        <f>Assumptions!$B$5*Assumptions!$B$28*Assumptions!F$10/Assumptions!$N$10*Assumptions!$B$59</f>
        <v/>
      </c>
      <c r="G70" s="45">
        <f>Assumptions!$B$5*Assumptions!$B$28*Assumptions!G$10/Assumptions!$N$10*Assumptions!$B$59</f>
        <v/>
      </c>
      <c r="H70" s="45">
        <f>Assumptions!$B$5*Assumptions!$B$28*Assumptions!H$10/Assumptions!$N$10*Assumptions!$B$59</f>
        <v/>
      </c>
      <c r="I70" s="45">
        <f>Assumptions!$B$5*Assumptions!$B$28*Assumptions!I$10/Assumptions!$N$10*Assumptions!$B$59</f>
        <v/>
      </c>
      <c r="J70" s="45">
        <f>Assumptions!$B$5*Assumptions!$B$28*Assumptions!J$10/Assumptions!$N$10*Assumptions!$B$59</f>
        <v/>
      </c>
      <c r="K70" s="45">
        <f>Assumptions!$B$5*Assumptions!$B$28*Assumptions!K$10/Assumptions!$N$10*Assumptions!$B$59</f>
        <v/>
      </c>
      <c r="L70" s="45">
        <f>Assumptions!$B$5*Assumptions!$B$28*Assumptions!L$10/Assumptions!$N$10*Assumptions!$B$59</f>
        <v/>
      </c>
      <c r="M70" s="45">
        <f>Assumptions!$B$5*Assumptions!$B$28*Assumptions!M$10/Assumptions!$N$10*Assumptions!$B$59</f>
        <v/>
      </c>
      <c r="N70" s="46">
        <f>SUM(B70:M70)</f>
        <v/>
      </c>
    </row>
    <row r="71">
      <c r="A71" s="44" t="inlineStr">
        <is>
          <t>Traffic (Visitors)</t>
        </is>
      </c>
      <c r="B71" s="47">
        <f>IFERROR(B70/(Assumptions!$C$28*Assumptions!$B$59),0)</f>
        <v/>
      </c>
      <c r="C71" s="47">
        <f>IFERROR(C70/(Assumptions!$C$28*Assumptions!$B$59),0)</f>
        <v/>
      </c>
      <c r="D71" s="47">
        <f>IFERROR(D70/(Assumptions!$C$28*Assumptions!$B$59),0)</f>
        <v/>
      </c>
      <c r="E71" s="47">
        <f>IFERROR(E70/(Assumptions!$C$28*Assumptions!$B$59),0)</f>
        <v/>
      </c>
      <c r="F71" s="47">
        <f>IFERROR(F70/(Assumptions!$C$28*Assumptions!$B$59),0)</f>
        <v/>
      </c>
      <c r="G71" s="47">
        <f>IFERROR(G70/(Assumptions!$C$28*Assumptions!$B$59),0)</f>
        <v/>
      </c>
      <c r="H71" s="47">
        <f>IFERROR(H70/(Assumptions!$C$28*Assumptions!$B$59),0)</f>
        <v/>
      </c>
      <c r="I71" s="47">
        <f>IFERROR(I70/(Assumptions!$C$28*Assumptions!$B$59),0)</f>
        <v/>
      </c>
      <c r="J71" s="47">
        <f>IFERROR(J70/(Assumptions!$C$28*Assumptions!$B$59),0)</f>
        <v/>
      </c>
      <c r="K71" s="47">
        <f>IFERROR(K70/(Assumptions!$C$28*Assumptions!$B$59),0)</f>
        <v/>
      </c>
      <c r="L71" s="47">
        <f>IFERROR(L70/(Assumptions!$C$28*Assumptions!$B$59),0)</f>
        <v/>
      </c>
      <c r="M71" s="47">
        <f>IFERROR(M70/(Assumptions!$C$28*Assumptions!$B$59),0)</f>
        <v/>
      </c>
      <c r="N71" s="48">
        <f>SUM(B71:M71)</f>
        <v/>
      </c>
    </row>
    <row r="72">
      <c r="A72" s="44" t="inlineStr">
        <is>
          <t>Leads</t>
        </is>
      </c>
      <c r="B72" s="47">
        <f>B71*Assumptions!$D$28*Assumptions!$B$71</f>
        <v/>
      </c>
      <c r="C72" s="47">
        <f>C71*Assumptions!$D$28*Assumptions!$B$71</f>
        <v/>
      </c>
      <c r="D72" s="47">
        <f>D71*Assumptions!$D$28*Assumptions!$B$71</f>
        <v/>
      </c>
      <c r="E72" s="47">
        <f>E71*Assumptions!$D$28*Assumptions!$B$71</f>
        <v/>
      </c>
      <c r="F72" s="47">
        <f>F71*Assumptions!$D$28*Assumptions!$B$71</f>
        <v/>
      </c>
      <c r="G72" s="47">
        <f>G71*Assumptions!$D$28*Assumptions!$B$71</f>
        <v/>
      </c>
      <c r="H72" s="47">
        <f>H71*Assumptions!$D$28*Assumptions!$B$71</f>
        <v/>
      </c>
      <c r="I72" s="47">
        <f>I71*Assumptions!$D$28*Assumptions!$B$71</f>
        <v/>
      </c>
      <c r="J72" s="47">
        <f>J71*Assumptions!$D$28*Assumptions!$B$71</f>
        <v/>
      </c>
      <c r="K72" s="47">
        <f>K71*Assumptions!$D$28*Assumptions!$B$71</f>
        <v/>
      </c>
      <c r="L72" s="47">
        <f>L71*Assumptions!$D$28*Assumptions!$B$71</f>
        <v/>
      </c>
      <c r="M72" s="47">
        <f>M71*Assumptions!$D$28*Assumptions!$B$71</f>
        <v/>
      </c>
      <c r="N72" s="48">
        <f>SUM(B72:M72)</f>
        <v/>
      </c>
    </row>
    <row r="73">
      <c r="A73" s="44" t="inlineStr">
        <is>
          <t>Customers</t>
        </is>
      </c>
      <c r="B73" s="47">
        <f>B72*Assumptions!$E$28*Assumptions!$B$72</f>
        <v/>
      </c>
      <c r="C73" s="47">
        <f>C72*Assumptions!$E$28*Assumptions!$B$72</f>
        <v/>
      </c>
      <c r="D73" s="47">
        <f>D72*Assumptions!$E$28*Assumptions!$B$72</f>
        <v/>
      </c>
      <c r="E73" s="47">
        <f>E72*Assumptions!$E$28*Assumptions!$B$72</f>
        <v/>
      </c>
      <c r="F73" s="47">
        <f>F72*Assumptions!$E$28*Assumptions!$B$72</f>
        <v/>
      </c>
      <c r="G73" s="47">
        <f>G72*Assumptions!$E$28*Assumptions!$B$72</f>
        <v/>
      </c>
      <c r="H73" s="47">
        <f>H72*Assumptions!$E$28*Assumptions!$B$72</f>
        <v/>
      </c>
      <c r="I73" s="47">
        <f>I72*Assumptions!$E$28*Assumptions!$B$72</f>
        <v/>
      </c>
      <c r="J73" s="47">
        <f>J72*Assumptions!$E$28*Assumptions!$B$72</f>
        <v/>
      </c>
      <c r="K73" s="47">
        <f>K72*Assumptions!$E$28*Assumptions!$B$72</f>
        <v/>
      </c>
      <c r="L73" s="47">
        <f>L72*Assumptions!$E$28*Assumptions!$B$72</f>
        <v/>
      </c>
      <c r="M73" s="47">
        <f>M72*Assumptions!$E$28*Assumptions!$B$72</f>
        <v/>
      </c>
      <c r="N73" s="48">
        <f>SUM(B73:M73)</f>
        <v/>
      </c>
    </row>
    <row r="74">
      <c r="A74" s="44" t="inlineStr">
        <is>
          <t>Revenue (₹)</t>
        </is>
      </c>
      <c r="B74" s="45">
        <f>B73*Assumptions!$F$28*Assumptions!$B$59</f>
        <v/>
      </c>
      <c r="C74" s="45">
        <f>C73*Assumptions!$F$28*Assumptions!$B$59</f>
        <v/>
      </c>
      <c r="D74" s="45">
        <f>D73*Assumptions!$F$28*Assumptions!$B$59</f>
        <v/>
      </c>
      <c r="E74" s="45">
        <f>E73*Assumptions!$F$28*Assumptions!$B$59</f>
        <v/>
      </c>
      <c r="F74" s="45">
        <f>F73*Assumptions!$F$28*Assumptions!$B$59</f>
        <v/>
      </c>
      <c r="G74" s="45">
        <f>G73*Assumptions!$F$28*Assumptions!$B$59</f>
        <v/>
      </c>
      <c r="H74" s="45">
        <f>H73*Assumptions!$F$28*Assumptions!$B$59</f>
        <v/>
      </c>
      <c r="I74" s="45">
        <f>I73*Assumptions!$F$28*Assumptions!$B$59</f>
        <v/>
      </c>
      <c r="J74" s="45">
        <f>J73*Assumptions!$F$28*Assumptions!$B$59</f>
        <v/>
      </c>
      <c r="K74" s="45">
        <f>K73*Assumptions!$F$28*Assumptions!$B$59</f>
        <v/>
      </c>
      <c r="L74" s="45">
        <f>L73*Assumptions!$F$28*Assumptions!$B$59</f>
        <v/>
      </c>
      <c r="M74" s="45">
        <f>M73*Assumptions!$F$28*Assumptions!$B$59</f>
        <v/>
      </c>
      <c r="N74" s="46">
        <f>SUM(B74:M74)</f>
        <v/>
      </c>
    </row>
    <row r="76" ht="16" customHeight="1">
      <c r="A76" s="43" t="inlineStr">
        <is>
          <t>Paid Search (Google Ads)</t>
        </is>
      </c>
    </row>
    <row r="77">
      <c r="A77" s="44" t="inlineStr">
        <is>
          <t>Spend (₹)</t>
        </is>
      </c>
      <c r="B77" s="45">
        <f>Assumptions!$B$5*Assumptions!$B$29*Assumptions!B$10/Assumptions!$N$10*Assumptions!$B$59</f>
        <v/>
      </c>
      <c r="C77" s="45">
        <f>Assumptions!$B$5*Assumptions!$B$29*Assumptions!C$10/Assumptions!$N$10*Assumptions!$B$59</f>
        <v/>
      </c>
      <c r="D77" s="45">
        <f>Assumptions!$B$5*Assumptions!$B$29*Assumptions!D$10/Assumptions!$N$10*Assumptions!$B$59</f>
        <v/>
      </c>
      <c r="E77" s="45">
        <f>Assumptions!$B$5*Assumptions!$B$29*Assumptions!E$10/Assumptions!$N$10*Assumptions!$B$59</f>
        <v/>
      </c>
      <c r="F77" s="45">
        <f>Assumptions!$B$5*Assumptions!$B$29*Assumptions!F$10/Assumptions!$N$10*Assumptions!$B$59</f>
        <v/>
      </c>
      <c r="G77" s="45">
        <f>Assumptions!$B$5*Assumptions!$B$29*Assumptions!G$10/Assumptions!$N$10*Assumptions!$B$59</f>
        <v/>
      </c>
      <c r="H77" s="45">
        <f>Assumptions!$B$5*Assumptions!$B$29*Assumptions!H$10/Assumptions!$N$10*Assumptions!$B$59</f>
        <v/>
      </c>
      <c r="I77" s="45">
        <f>Assumptions!$B$5*Assumptions!$B$29*Assumptions!I$10/Assumptions!$N$10*Assumptions!$B$59</f>
        <v/>
      </c>
      <c r="J77" s="45">
        <f>Assumptions!$B$5*Assumptions!$B$29*Assumptions!J$10/Assumptions!$N$10*Assumptions!$B$59</f>
        <v/>
      </c>
      <c r="K77" s="45">
        <f>Assumptions!$B$5*Assumptions!$B$29*Assumptions!K$10/Assumptions!$N$10*Assumptions!$B$59</f>
        <v/>
      </c>
      <c r="L77" s="45">
        <f>Assumptions!$B$5*Assumptions!$B$29*Assumptions!L$10/Assumptions!$N$10*Assumptions!$B$59</f>
        <v/>
      </c>
      <c r="M77" s="45">
        <f>Assumptions!$B$5*Assumptions!$B$29*Assumptions!M$10/Assumptions!$N$10*Assumptions!$B$59</f>
        <v/>
      </c>
      <c r="N77" s="46">
        <f>SUM(B77:M77)</f>
        <v/>
      </c>
    </row>
    <row r="78">
      <c r="A78" s="44" t="inlineStr">
        <is>
          <t>Traffic (Visitors)</t>
        </is>
      </c>
      <c r="B78" s="47">
        <f>IFERROR(B77/(Assumptions!$C$29*Assumptions!$B$59),0)</f>
        <v/>
      </c>
      <c r="C78" s="47">
        <f>IFERROR(C77/(Assumptions!$C$29*Assumptions!$B$59),0)</f>
        <v/>
      </c>
      <c r="D78" s="47">
        <f>IFERROR(D77/(Assumptions!$C$29*Assumptions!$B$59),0)</f>
        <v/>
      </c>
      <c r="E78" s="47">
        <f>IFERROR(E77/(Assumptions!$C$29*Assumptions!$B$59),0)</f>
        <v/>
      </c>
      <c r="F78" s="47">
        <f>IFERROR(F77/(Assumptions!$C$29*Assumptions!$B$59),0)</f>
        <v/>
      </c>
      <c r="G78" s="47">
        <f>IFERROR(G77/(Assumptions!$C$29*Assumptions!$B$59),0)</f>
        <v/>
      </c>
      <c r="H78" s="47">
        <f>IFERROR(H77/(Assumptions!$C$29*Assumptions!$B$59),0)</f>
        <v/>
      </c>
      <c r="I78" s="47">
        <f>IFERROR(I77/(Assumptions!$C$29*Assumptions!$B$59),0)</f>
        <v/>
      </c>
      <c r="J78" s="47">
        <f>IFERROR(J77/(Assumptions!$C$29*Assumptions!$B$59),0)</f>
        <v/>
      </c>
      <c r="K78" s="47">
        <f>IFERROR(K77/(Assumptions!$C$29*Assumptions!$B$59),0)</f>
        <v/>
      </c>
      <c r="L78" s="47">
        <f>IFERROR(L77/(Assumptions!$C$29*Assumptions!$B$59),0)</f>
        <v/>
      </c>
      <c r="M78" s="47">
        <f>IFERROR(M77/(Assumptions!$C$29*Assumptions!$B$59),0)</f>
        <v/>
      </c>
      <c r="N78" s="48">
        <f>SUM(B78:M78)</f>
        <v/>
      </c>
    </row>
    <row r="79">
      <c r="A79" s="44" t="inlineStr">
        <is>
          <t>Leads</t>
        </is>
      </c>
      <c r="B79" s="47">
        <f>B78*Assumptions!$D$29*Assumptions!$B$71</f>
        <v/>
      </c>
      <c r="C79" s="47">
        <f>C78*Assumptions!$D$29*Assumptions!$B$71</f>
        <v/>
      </c>
      <c r="D79" s="47">
        <f>D78*Assumptions!$D$29*Assumptions!$B$71</f>
        <v/>
      </c>
      <c r="E79" s="47">
        <f>E78*Assumptions!$D$29*Assumptions!$B$71</f>
        <v/>
      </c>
      <c r="F79" s="47">
        <f>F78*Assumptions!$D$29*Assumptions!$B$71</f>
        <v/>
      </c>
      <c r="G79" s="47">
        <f>G78*Assumptions!$D$29*Assumptions!$B$71</f>
        <v/>
      </c>
      <c r="H79" s="47">
        <f>H78*Assumptions!$D$29*Assumptions!$B$71</f>
        <v/>
      </c>
      <c r="I79" s="47">
        <f>I78*Assumptions!$D$29*Assumptions!$B$71</f>
        <v/>
      </c>
      <c r="J79" s="47">
        <f>J78*Assumptions!$D$29*Assumptions!$B$71</f>
        <v/>
      </c>
      <c r="K79" s="47">
        <f>K78*Assumptions!$D$29*Assumptions!$B$71</f>
        <v/>
      </c>
      <c r="L79" s="47">
        <f>L78*Assumptions!$D$29*Assumptions!$B$71</f>
        <v/>
      </c>
      <c r="M79" s="47">
        <f>M78*Assumptions!$D$29*Assumptions!$B$71</f>
        <v/>
      </c>
      <c r="N79" s="48">
        <f>SUM(B79:M79)</f>
        <v/>
      </c>
    </row>
    <row r="80">
      <c r="A80" s="44" t="inlineStr">
        <is>
          <t>Customers</t>
        </is>
      </c>
      <c r="B80" s="47">
        <f>B79*Assumptions!$E$29*Assumptions!$B$72</f>
        <v/>
      </c>
      <c r="C80" s="47">
        <f>C79*Assumptions!$E$29*Assumptions!$B$72</f>
        <v/>
      </c>
      <c r="D80" s="47">
        <f>D79*Assumptions!$E$29*Assumptions!$B$72</f>
        <v/>
      </c>
      <c r="E80" s="47">
        <f>E79*Assumptions!$E$29*Assumptions!$B$72</f>
        <v/>
      </c>
      <c r="F80" s="47">
        <f>F79*Assumptions!$E$29*Assumptions!$B$72</f>
        <v/>
      </c>
      <c r="G80" s="47">
        <f>G79*Assumptions!$E$29*Assumptions!$B$72</f>
        <v/>
      </c>
      <c r="H80" s="47">
        <f>H79*Assumptions!$E$29*Assumptions!$B$72</f>
        <v/>
      </c>
      <c r="I80" s="47">
        <f>I79*Assumptions!$E$29*Assumptions!$B$72</f>
        <v/>
      </c>
      <c r="J80" s="47">
        <f>J79*Assumptions!$E$29*Assumptions!$B$72</f>
        <v/>
      </c>
      <c r="K80" s="47">
        <f>K79*Assumptions!$E$29*Assumptions!$B$72</f>
        <v/>
      </c>
      <c r="L80" s="47">
        <f>L79*Assumptions!$E$29*Assumptions!$B$72</f>
        <v/>
      </c>
      <c r="M80" s="47">
        <f>M79*Assumptions!$E$29*Assumptions!$B$72</f>
        <v/>
      </c>
      <c r="N80" s="48">
        <f>SUM(B80:M80)</f>
        <v/>
      </c>
    </row>
    <row r="81">
      <c r="A81" s="44" t="inlineStr">
        <is>
          <t>Revenue (₹)</t>
        </is>
      </c>
      <c r="B81" s="45">
        <f>B80*Assumptions!$F$29*Assumptions!$B$59</f>
        <v/>
      </c>
      <c r="C81" s="45">
        <f>C80*Assumptions!$F$29*Assumptions!$B$59</f>
        <v/>
      </c>
      <c r="D81" s="45">
        <f>D80*Assumptions!$F$29*Assumptions!$B$59</f>
        <v/>
      </c>
      <c r="E81" s="45">
        <f>E80*Assumptions!$F$29*Assumptions!$B$59</f>
        <v/>
      </c>
      <c r="F81" s="45">
        <f>F80*Assumptions!$F$29*Assumptions!$B$59</f>
        <v/>
      </c>
      <c r="G81" s="45">
        <f>G80*Assumptions!$F$29*Assumptions!$B$59</f>
        <v/>
      </c>
      <c r="H81" s="45">
        <f>H80*Assumptions!$F$29*Assumptions!$B$59</f>
        <v/>
      </c>
      <c r="I81" s="45">
        <f>I80*Assumptions!$F$29*Assumptions!$B$59</f>
        <v/>
      </c>
      <c r="J81" s="45">
        <f>J80*Assumptions!$F$29*Assumptions!$B$59</f>
        <v/>
      </c>
      <c r="K81" s="45">
        <f>K80*Assumptions!$F$29*Assumptions!$B$59</f>
        <v/>
      </c>
      <c r="L81" s="45">
        <f>L80*Assumptions!$F$29*Assumptions!$B$59</f>
        <v/>
      </c>
      <c r="M81" s="45">
        <f>M80*Assumptions!$F$29*Assumptions!$B$59</f>
        <v/>
      </c>
      <c r="N81" s="46">
        <f>SUM(B81:M81)</f>
        <v/>
      </c>
    </row>
    <row r="83" ht="16" customHeight="1">
      <c r="A83" s="43" t="inlineStr">
        <is>
          <t>SEO &amp; Content Marketing</t>
        </is>
      </c>
    </row>
    <row r="84">
      <c r="A84" s="44" t="inlineStr">
        <is>
          <t>Spend (₹)</t>
        </is>
      </c>
      <c r="B84" s="45">
        <f>Assumptions!$B$5*Assumptions!$B$30*Assumptions!B$10/Assumptions!$N$10*Assumptions!$B$59</f>
        <v/>
      </c>
      <c r="C84" s="45">
        <f>Assumptions!$B$5*Assumptions!$B$30*Assumptions!C$10/Assumptions!$N$10*Assumptions!$B$59</f>
        <v/>
      </c>
      <c r="D84" s="45">
        <f>Assumptions!$B$5*Assumptions!$B$30*Assumptions!D$10/Assumptions!$N$10*Assumptions!$B$59</f>
        <v/>
      </c>
      <c r="E84" s="45">
        <f>Assumptions!$B$5*Assumptions!$B$30*Assumptions!E$10/Assumptions!$N$10*Assumptions!$B$59</f>
        <v/>
      </c>
      <c r="F84" s="45">
        <f>Assumptions!$B$5*Assumptions!$B$30*Assumptions!F$10/Assumptions!$N$10*Assumptions!$B$59</f>
        <v/>
      </c>
      <c r="G84" s="45">
        <f>Assumptions!$B$5*Assumptions!$B$30*Assumptions!G$10/Assumptions!$N$10*Assumptions!$B$59</f>
        <v/>
      </c>
      <c r="H84" s="45">
        <f>Assumptions!$B$5*Assumptions!$B$30*Assumptions!H$10/Assumptions!$N$10*Assumptions!$B$59</f>
        <v/>
      </c>
      <c r="I84" s="45">
        <f>Assumptions!$B$5*Assumptions!$B$30*Assumptions!I$10/Assumptions!$N$10*Assumptions!$B$59</f>
        <v/>
      </c>
      <c r="J84" s="45">
        <f>Assumptions!$B$5*Assumptions!$B$30*Assumptions!J$10/Assumptions!$N$10*Assumptions!$B$59</f>
        <v/>
      </c>
      <c r="K84" s="45">
        <f>Assumptions!$B$5*Assumptions!$B$30*Assumptions!K$10/Assumptions!$N$10*Assumptions!$B$59</f>
        <v/>
      </c>
      <c r="L84" s="45">
        <f>Assumptions!$B$5*Assumptions!$B$30*Assumptions!L$10/Assumptions!$N$10*Assumptions!$B$59</f>
        <v/>
      </c>
      <c r="M84" s="45">
        <f>Assumptions!$B$5*Assumptions!$B$30*Assumptions!M$10/Assumptions!$N$10*Assumptions!$B$59</f>
        <v/>
      </c>
      <c r="N84" s="46">
        <f>SUM(B84:M84)</f>
        <v/>
      </c>
    </row>
    <row r="85">
      <c r="A85" s="44" t="inlineStr">
        <is>
          <t>Traffic (Visitors)</t>
        </is>
      </c>
      <c r="B85" s="47">
        <f>IFERROR(B84/(Assumptions!$C$30*Assumptions!$B$59),0)</f>
        <v/>
      </c>
      <c r="C85" s="47">
        <f>IFERROR(C84/(Assumptions!$C$30*Assumptions!$B$59),0)</f>
        <v/>
      </c>
      <c r="D85" s="47">
        <f>IFERROR(D84/(Assumptions!$C$30*Assumptions!$B$59),0)</f>
        <v/>
      </c>
      <c r="E85" s="47">
        <f>IFERROR(E84/(Assumptions!$C$30*Assumptions!$B$59),0)</f>
        <v/>
      </c>
      <c r="F85" s="47">
        <f>IFERROR(F84/(Assumptions!$C$30*Assumptions!$B$59),0)</f>
        <v/>
      </c>
      <c r="G85" s="47">
        <f>IFERROR(G84/(Assumptions!$C$30*Assumptions!$B$59),0)</f>
        <v/>
      </c>
      <c r="H85" s="47">
        <f>IFERROR(H84/(Assumptions!$C$30*Assumptions!$B$59),0)</f>
        <v/>
      </c>
      <c r="I85" s="47">
        <f>IFERROR(I84/(Assumptions!$C$30*Assumptions!$B$59),0)</f>
        <v/>
      </c>
      <c r="J85" s="47">
        <f>IFERROR(J84/(Assumptions!$C$30*Assumptions!$B$59),0)</f>
        <v/>
      </c>
      <c r="K85" s="47">
        <f>IFERROR(K84/(Assumptions!$C$30*Assumptions!$B$59),0)</f>
        <v/>
      </c>
      <c r="L85" s="47">
        <f>IFERROR(L84/(Assumptions!$C$30*Assumptions!$B$59),0)</f>
        <v/>
      </c>
      <c r="M85" s="47">
        <f>IFERROR(M84/(Assumptions!$C$30*Assumptions!$B$59),0)</f>
        <v/>
      </c>
      <c r="N85" s="48">
        <f>SUM(B85:M85)</f>
        <v/>
      </c>
    </row>
    <row r="86">
      <c r="A86" s="44" t="inlineStr">
        <is>
          <t>Leads</t>
        </is>
      </c>
      <c r="B86" s="47">
        <f>B85*Assumptions!$D$30*Assumptions!$B$71</f>
        <v/>
      </c>
      <c r="C86" s="47">
        <f>C85*Assumptions!$D$30*Assumptions!$B$71</f>
        <v/>
      </c>
      <c r="D86" s="47">
        <f>D85*Assumptions!$D$30*Assumptions!$B$71</f>
        <v/>
      </c>
      <c r="E86" s="47">
        <f>E85*Assumptions!$D$30*Assumptions!$B$71</f>
        <v/>
      </c>
      <c r="F86" s="47">
        <f>F85*Assumptions!$D$30*Assumptions!$B$71</f>
        <v/>
      </c>
      <c r="G86" s="47">
        <f>G85*Assumptions!$D$30*Assumptions!$B$71</f>
        <v/>
      </c>
      <c r="H86" s="47">
        <f>H85*Assumptions!$D$30*Assumptions!$B$71</f>
        <v/>
      </c>
      <c r="I86" s="47">
        <f>I85*Assumptions!$D$30*Assumptions!$B$71</f>
        <v/>
      </c>
      <c r="J86" s="47">
        <f>J85*Assumptions!$D$30*Assumptions!$B$71</f>
        <v/>
      </c>
      <c r="K86" s="47">
        <f>K85*Assumptions!$D$30*Assumptions!$B$71</f>
        <v/>
      </c>
      <c r="L86" s="47">
        <f>L85*Assumptions!$D$30*Assumptions!$B$71</f>
        <v/>
      </c>
      <c r="M86" s="47">
        <f>M85*Assumptions!$D$30*Assumptions!$B$71</f>
        <v/>
      </c>
      <c r="N86" s="48">
        <f>SUM(B86:M86)</f>
        <v/>
      </c>
    </row>
    <row r="87">
      <c r="A87" s="44" t="inlineStr">
        <is>
          <t>Customers</t>
        </is>
      </c>
      <c r="B87" s="47">
        <f>B86*Assumptions!$E$30*Assumptions!$B$72</f>
        <v/>
      </c>
      <c r="C87" s="47">
        <f>C86*Assumptions!$E$30*Assumptions!$B$72</f>
        <v/>
      </c>
      <c r="D87" s="47">
        <f>D86*Assumptions!$E$30*Assumptions!$B$72</f>
        <v/>
      </c>
      <c r="E87" s="47">
        <f>E86*Assumptions!$E$30*Assumptions!$B$72</f>
        <v/>
      </c>
      <c r="F87" s="47">
        <f>F86*Assumptions!$E$30*Assumptions!$B$72</f>
        <v/>
      </c>
      <c r="G87" s="47">
        <f>G86*Assumptions!$E$30*Assumptions!$B$72</f>
        <v/>
      </c>
      <c r="H87" s="47">
        <f>H86*Assumptions!$E$30*Assumptions!$B$72</f>
        <v/>
      </c>
      <c r="I87" s="47">
        <f>I86*Assumptions!$E$30*Assumptions!$B$72</f>
        <v/>
      </c>
      <c r="J87" s="47">
        <f>J86*Assumptions!$E$30*Assumptions!$B$72</f>
        <v/>
      </c>
      <c r="K87" s="47">
        <f>K86*Assumptions!$E$30*Assumptions!$B$72</f>
        <v/>
      </c>
      <c r="L87" s="47">
        <f>L86*Assumptions!$E$30*Assumptions!$B$72</f>
        <v/>
      </c>
      <c r="M87" s="47">
        <f>M86*Assumptions!$E$30*Assumptions!$B$72</f>
        <v/>
      </c>
      <c r="N87" s="48">
        <f>SUM(B87:M87)</f>
        <v/>
      </c>
    </row>
    <row r="88">
      <c r="A88" s="44" t="inlineStr">
        <is>
          <t>Revenue (₹)</t>
        </is>
      </c>
      <c r="B88" s="45">
        <f>B87*Assumptions!$F$30*Assumptions!$B$59</f>
        <v/>
      </c>
      <c r="C88" s="45">
        <f>C87*Assumptions!$F$30*Assumptions!$B$59</f>
        <v/>
      </c>
      <c r="D88" s="45">
        <f>D87*Assumptions!$F$30*Assumptions!$B$59</f>
        <v/>
      </c>
      <c r="E88" s="45">
        <f>E87*Assumptions!$F$30*Assumptions!$B$59</f>
        <v/>
      </c>
      <c r="F88" s="45">
        <f>F87*Assumptions!$F$30*Assumptions!$B$59</f>
        <v/>
      </c>
      <c r="G88" s="45">
        <f>G87*Assumptions!$F$30*Assumptions!$B$59</f>
        <v/>
      </c>
      <c r="H88" s="45">
        <f>H87*Assumptions!$F$30*Assumptions!$B$59</f>
        <v/>
      </c>
      <c r="I88" s="45">
        <f>I87*Assumptions!$F$30*Assumptions!$B$59</f>
        <v/>
      </c>
      <c r="J88" s="45">
        <f>J87*Assumptions!$F$30*Assumptions!$B$59</f>
        <v/>
      </c>
      <c r="K88" s="45">
        <f>K87*Assumptions!$F$30*Assumptions!$B$59</f>
        <v/>
      </c>
      <c r="L88" s="45">
        <f>L87*Assumptions!$F$30*Assumptions!$B$59</f>
        <v/>
      </c>
      <c r="M88" s="45">
        <f>M87*Assumptions!$F$30*Assumptions!$B$59</f>
        <v/>
      </c>
      <c r="N88" s="46">
        <f>SUM(B88:M88)</f>
        <v/>
      </c>
    </row>
    <row r="90" ht="16" customHeight="1">
      <c r="A90" s="43" t="inlineStr">
        <is>
          <t>Email Marketing</t>
        </is>
      </c>
    </row>
    <row r="91">
      <c r="A91" s="44" t="inlineStr">
        <is>
          <t>Spend (₹)</t>
        </is>
      </c>
      <c r="B91" s="45">
        <f>Assumptions!$B$5*Assumptions!$B$31*Assumptions!B$10/Assumptions!$N$10*Assumptions!$B$59</f>
        <v/>
      </c>
      <c r="C91" s="45">
        <f>Assumptions!$B$5*Assumptions!$B$31*Assumptions!C$10/Assumptions!$N$10*Assumptions!$B$59</f>
        <v/>
      </c>
      <c r="D91" s="45">
        <f>Assumptions!$B$5*Assumptions!$B$31*Assumptions!D$10/Assumptions!$N$10*Assumptions!$B$59</f>
        <v/>
      </c>
      <c r="E91" s="45">
        <f>Assumptions!$B$5*Assumptions!$B$31*Assumptions!E$10/Assumptions!$N$10*Assumptions!$B$59</f>
        <v/>
      </c>
      <c r="F91" s="45">
        <f>Assumptions!$B$5*Assumptions!$B$31*Assumptions!F$10/Assumptions!$N$10*Assumptions!$B$59</f>
        <v/>
      </c>
      <c r="G91" s="45">
        <f>Assumptions!$B$5*Assumptions!$B$31*Assumptions!G$10/Assumptions!$N$10*Assumptions!$B$59</f>
        <v/>
      </c>
      <c r="H91" s="45">
        <f>Assumptions!$B$5*Assumptions!$B$31*Assumptions!H$10/Assumptions!$N$10*Assumptions!$B$59</f>
        <v/>
      </c>
      <c r="I91" s="45">
        <f>Assumptions!$B$5*Assumptions!$B$31*Assumptions!I$10/Assumptions!$N$10*Assumptions!$B$59</f>
        <v/>
      </c>
      <c r="J91" s="45">
        <f>Assumptions!$B$5*Assumptions!$B$31*Assumptions!J$10/Assumptions!$N$10*Assumptions!$B$59</f>
        <v/>
      </c>
      <c r="K91" s="45">
        <f>Assumptions!$B$5*Assumptions!$B$31*Assumptions!K$10/Assumptions!$N$10*Assumptions!$B$59</f>
        <v/>
      </c>
      <c r="L91" s="45">
        <f>Assumptions!$B$5*Assumptions!$B$31*Assumptions!L$10/Assumptions!$N$10*Assumptions!$B$59</f>
        <v/>
      </c>
      <c r="M91" s="45">
        <f>Assumptions!$B$5*Assumptions!$B$31*Assumptions!M$10/Assumptions!$N$10*Assumptions!$B$59</f>
        <v/>
      </c>
      <c r="N91" s="46">
        <f>SUM(B91:M91)</f>
        <v/>
      </c>
    </row>
    <row r="92">
      <c r="A92" s="44" t="inlineStr">
        <is>
          <t>Traffic (Visitors)</t>
        </is>
      </c>
      <c r="B92" s="47">
        <f>IFERROR(B91/(Assumptions!$C$31*Assumptions!$B$59),0)</f>
        <v/>
      </c>
      <c r="C92" s="47">
        <f>IFERROR(C91/(Assumptions!$C$31*Assumptions!$B$59),0)</f>
        <v/>
      </c>
      <c r="D92" s="47">
        <f>IFERROR(D91/(Assumptions!$C$31*Assumptions!$B$59),0)</f>
        <v/>
      </c>
      <c r="E92" s="47">
        <f>IFERROR(E91/(Assumptions!$C$31*Assumptions!$B$59),0)</f>
        <v/>
      </c>
      <c r="F92" s="47">
        <f>IFERROR(F91/(Assumptions!$C$31*Assumptions!$B$59),0)</f>
        <v/>
      </c>
      <c r="G92" s="47">
        <f>IFERROR(G91/(Assumptions!$C$31*Assumptions!$B$59),0)</f>
        <v/>
      </c>
      <c r="H92" s="47">
        <f>IFERROR(H91/(Assumptions!$C$31*Assumptions!$B$59),0)</f>
        <v/>
      </c>
      <c r="I92" s="47">
        <f>IFERROR(I91/(Assumptions!$C$31*Assumptions!$B$59),0)</f>
        <v/>
      </c>
      <c r="J92" s="47">
        <f>IFERROR(J91/(Assumptions!$C$31*Assumptions!$B$59),0)</f>
        <v/>
      </c>
      <c r="K92" s="47">
        <f>IFERROR(K91/(Assumptions!$C$31*Assumptions!$B$59),0)</f>
        <v/>
      </c>
      <c r="L92" s="47">
        <f>IFERROR(L91/(Assumptions!$C$31*Assumptions!$B$59),0)</f>
        <v/>
      </c>
      <c r="M92" s="47">
        <f>IFERROR(M91/(Assumptions!$C$31*Assumptions!$B$59),0)</f>
        <v/>
      </c>
      <c r="N92" s="48">
        <f>SUM(B92:M92)</f>
        <v/>
      </c>
    </row>
    <row r="93">
      <c r="A93" s="44" t="inlineStr">
        <is>
          <t>Leads</t>
        </is>
      </c>
      <c r="B93" s="47">
        <f>B92*Assumptions!$D$31*Assumptions!$B$71</f>
        <v/>
      </c>
      <c r="C93" s="47">
        <f>C92*Assumptions!$D$31*Assumptions!$B$71</f>
        <v/>
      </c>
      <c r="D93" s="47">
        <f>D92*Assumptions!$D$31*Assumptions!$B$71</f>
        <v/>
      </c>
      <c r="E93" s="47">
        <f>E92*Assumptions!$D$31*Assumptions!$B$71</f>
        <v/>
      </c>
      <c r="F93" s="47">
        <f>F92*Assumptions!$D$31*Assumptions!$B$71</f>
        <v/>
      </c>
      <c r="G93" s="47">
        <f>G92*Assumptions!$D$31*Assumptions!$B$71</f>
        <v/>
      </c>
      <c r="H93" s="47">
        <f>H92*Assumptions!$D$31*Assumptions!$B$71</f>
        <v/>
      </c>
      <c r="I93" s="47">
        <f>I92*Assumptions!$D$31*Assumptions!$B$71</f>
        <v/>
      </c>
      <c r="J93" s="47">
        <f>J92*Assumptions!$D$31*Assumptions!$B$71</f>
        <v/>
      </c>
      <c r="K93" s="47">
        <f>K92*Assumptions!$D$31*Assumptions!$B$71</f>
        <v/>
      </c>
      <c r="L93" s="47">
        <f>L92*Assumptions!$D$31*Assumptions!$B$71</f>
        <v/>
      </c>
      <c r="M93" s="47">
        <f>M92*Assumptions!$D$31*Assumptions!$B$71</f>
        <v/>
      </c>
      <c r="N93" s="48">
        <f>SUM(B93:M93)</f>
        <v/>
      </c>
    </row>
    <row r="94">
      <c r="A94" s="44" t="inlineStr">
        <is>
          <t>Customers</t>
        </is>
      </c>
      <c r="B94" s="47">
        <f>B93*Assumptions!$E$31*Assumptions!$B$72</f>
        <v/>
      </c>
      <c r="C94" s="47">
        <f>C93*Assumptions!$E$31*Assumptions!$B$72</f>
        <v/>
      </c>
      <c r="D94" s="47">
        <f>D93*Assumptions!$E$31*Assumptions!$B$72</f>
        <v/>
      </c>
      <c r="E94" s="47">
        <f>E93*Assumptions!$E$31*Assumptions!$B$72</f>
        <v/>
      </c>
      <c r="F94" s="47">
        <f>F93*Assumptions!$E$31*Assumptions!$B$72</f>
        <v/>
      </c>
      <c r="G94" s="47">
        <f>G93*Assumptions!$E$31*Assumptions!$B$72</f>
        <v/>
      </c>
      <c r="H94" s="47">
        <f>H93*Assumptions!$E$31*Assumptions!$B$72</f>
        <v/>
      </c>
      <c r="I94" s="47">
        <f>I93*Assumptions!$E$31*Assumptions!$B$72</f>
        <v/>
      </c>
      <c r="J94" s="47">
        <f>J93*Assumptions!$E$31*Assumptions!$B$72</f>
        <v/>
      </c>
      <c r="K94" s="47">
        <f>K93*Assumptions!$E$31*Assumptions!$B$72</f>
        <v/>
      </c>
      <c r="L94" s="47">
        <f>L93*Assumptions!$E$31*Assumptions!$B$72</f>
        <v/>
      </c>
      <c r="M94" s="47">
        <f>M93*Assumptions!$E$31*Assumptions!$B$72</f>
        <v/>
      </c>
      <c r="N94" s="48">
        <f>SUM(B94:M94)</f>
        <v/>
      </c>
    </row>
    <row r="95">
      <c r="A95" s="44" t="inlineStr">
        <is>
          <t>Revenue (₹)</t>
        </is>
      </c>
      <c r="B95" s="45">
        <f>B94*Assumptions!$F$31*Assumptions!$B$59</f>
        <v/>
      </c>
      <c r="C95" s="45">
        <f>C94*Assumptions!$F$31*Assumptions!$B$59</f>
        <v/>
      </c>
      <c r="D95" s="45">
        <f>D94*Assumptions!$F$31*Assumptions!$B$59</f>
        <v/>
      </c>
      <c r="E95" s="45">
        <f>E94*Assumptions!$F$31*Assumptions!$B$59</f>
        <v/>
      </c>
      <c r="F95" s="45">
        <f>F94*Assumptions!$F$31*Assumptions!$B$59</f>
        <v/>
      </c>
      <c r="G95" s="45">
        <f>G94*Assumptions!$F$31*Assumptions!$B$59</f>
        <v/>
      </c>
      <c r="H95" s="45">
        <f>H94*Assumptions!$F$31*Assumptions!$B$59</f>
        <v/>
      </c>
      <c r="I95" s="45">
        <f>I94*Assumptions!$F$31*Assumptions!$B$59</f>
        <v/>
      </c>
      <c r="J95" s="45">
        <f>J94*Assumptions!$F$31*Assumptions!$B$59</f>
        <v/>
      </c>
      <c r="K95" s="45">
        <f>K94*Assumptions!$F$31*Assumptions!$B$59</f>
        <v/>
      </c>
      <c r="L95" s="45">
        <f>L94*Assumptions!$F$31*Assumptions!$B$59</f>
        <v/>
      </c>
      <c r="M95" s="45">
        <f>M94*Assumptions!$F$31*Assumptions!$B$59</f>
        <v/>
      </c>
      <c r="N95" s="46">
        <f>SUM(B95:M95)</f>
        <v/>
      </c>
    </row>
    <row r="97" ht="16" customHeight="1">
      <c r="A97" s="43" t="inlineStr">
        <is>
          <t>Influencer &amp; Affiliate Marketing</t>
        </is>
      </c>
    </row>
    <row r="98">
      <c r="A98" s="44" t="inlineStr">
        <is>
          <t>Spend (₹)</t>
        </is>
      </c>
      <c r="B98" s="45">
        <f>Assumptions!$B$5*Assumptions!$B$32*Assumptions!B$10/Assumptions!$N$10*Assumptions!$B$59</f>
        <v/>
      </c>
      <c r="C98" s="45">
        <f>Assumptions!$B$5*Assumptions!$B$32*Assumptions!C$10/Assumptions!$N$10*Assumptions!$B$59</f>
        <v/>
      </c>
      <c r="D98" s="45">
        <f>Assumptions!$B$5*Assumptions!$B$32*Assumptions!D$10/Assumptions!$N$10*Assumptions!$B$59</f>
        <v/>
      </c>
      <c r="E98" s="45">
        <f>Assumptions!$B$5*Assumptions!$B$32*Assumptions!E$10/Assumptions!$N$10*Assumptions!$B$59</f>
        <v/>
      </c>
      <c r="F98" s="45">
        <f>Assumptions!$B$5*Assumptions!$B$32*Assumptions!F$10/Assumptions!$N$10*Assumptions!$B$59</f>
        <v/>
      </c>
      <c r="G98" s="45">
        <f>Assumptions!$B$5*Assumptions!$B$32*Assumptions!G$10/Assumptions!$N$10*Assumptions!$B$59</f>
        <v/>
      </c>
      <c r="H98" s="45">
        <f>Assumptions!$B$5*Assumptions!$B$32*Assumptions!H$10/Assumptions!$N$10*Assumptions!$B$59</f>
        <v/>
      </c>
      <c r="I98" s="45">
        <f>Assumptions!$B$5*Assumptions!$B$32*Assumptions!I$10/Assumptions!$N$10*Assumptions!$B$59</f>
        <v/>
      </c>
      <c r="J98" s="45">
        <f>Assumptions!$B$5*Assumptions!$B$32*Assumptions!J$10/Assumptions!$N$10*Assumptions!$B$59</f>
        <v/>
      </c>
      <c r="K98" s="45">
        <f>Assumptions!$B$5*Assumptions!$B$32*Assumptions!K$10/Assumptions!$N$10*Assumptions!$B$59</f>
        <v/>
      </c>
      <c r="L98" s="45">
        <f>Assumptions!$B$5*Assumptions!$B$32*Assumptions!L$10/Assumptions!$N$10*Assumptions!$B$59</f>
        <v/>
      </c>
      <c r="M98" s="45">
        <f>Assumptions!$B$5*Assumptions!$B$32*Assumptions!M$10/Assumptions!$N$10*Assumptions!$B$59</f>
        <v/>
      </c>
      <c r="N98" s="46">
        <f>SUM(B98:M98)</f>
        <v/>
      </c>
    </row>
    <row r="99">
      <c r="A99" s="44" t="inlineStr">
        <is>
          <t>Traffic (Visitors)</t>
        </is>
      </c>
      <c r="B99" s="47">
        <f>IFERROR(B98/(Assumptions!$C$32*Assumptions!$B$59),0)</f>
        <v/>
      </c>
      <c r="C99" s="47">
        <f>IFERROR(C98/(Assumptions!$C$32*Assumptions!$B$59),0)</f>
        <v/>
      </c>
      <c r="D99" s="47">
        <f>IFERROR(D98/(Assumptions!$C$32*Assumptions!$B$59),0)</f>
        <v/>
      </c>
      <c r="E99" s="47">
        <f>IFERROR(E98/(Assumptions!$C$32*Assumptions!$B$59),0)</f>
        <v/>
      </c>
      <c r="F99" s="47">
        <f>IFERROR(F98/(Assumptions!$C$32*Assumptions!$B$59),0)</f>
        <v/>
      </c>
      <c r="G99" s="47">
        <f>IFERROR(G98/(Assumptions!$C$32*Assumptions!$B$59),0)</f>
        <v/>
      </c>
      <c r="H99" s="47">
        <f>IFERROR(H98/(Assumptions!$C$32*Assumptions!$B$59),0)</f>
        <v/>
      </c>
      <c r="I99" s="47">
        <f>IFERROR(I98/(Assumptions!$C$32*Assumptions!$B$59),0)</f>
        <v/>
      </c>
      <c r="J99" s="47">
        <f>IFERROR(J98/(Assumptions!$C$32*Assumptions!$B$59),0)</f>
        <v/>
      </c>
      <c r="K99" s="47">
        <f>IFERROR(K98/(Assumptions!$C$32*Assumptions!$B$59),0)</f>
        <v/>
      </c>
      <c r="L99" s="47">
        <f>IFERROR(L98/(Assumptions!$C$32*Assumptions!$B$59),0)</f>
        <v/>
      </c>
      <c r="M99" s="47">
        <f>IFERROR(M98/(Assumptions!$C$32*Assumptions!$B$59),0)</f>
        <v/>
      </c>
      <c r="N99" s="48">
        <f>SUM(B99:M99)</f>
        <v/>
      </c>
    </row>
    <row r="100">
      <c r="A100" s="44" t="inlineStr">
        <is>
          <t>Leads</t>
        </is>
      </c>
      <c r="B100" s="47">
        <f>B99*Assumptions!$D$32*Assumptions!$B$71</f>
        <v/>
      </c>
      <c r="C100" s="47">
        <f>C99*Assumptions!$D$32*Assumptions!$B$71</f>
        <v/>
      </c>
      <c r="D100" s="47">
        <f>D99*Assumptions!$D$32*Assumptions!$B$71</f>
        <v/>
      </c>
      <c r="E100" s="47">
        <f>E99*Assumptions!$D$32*Assumptions!$B$71</f>
        <v/>
      </c>
      <c r="F100" s="47">
        <f>F99*Assumptions!$D$32*Assumptions!$B$71</f>
        <v/>
      </c>
      <c r="G100" s="47">
        <f>G99*Assumptions!$D$32*Assumptions!$B$71</f>
        <v/>
      </c>
      <c r="H100" s="47">
        <f>H99*Assumptions!$D$32*Assumptions!$B$71</f>
        <v/>
      </c>
      <c r="I100" s="47">
        <f>I99*Assumptions!$D$32*Assumptions!$B$71</f>
        <v/>
      </c>
      <c r="J100" s="47">
        <f>J99*Assumptions!$D$32*Assumptions!$B$71</f>
        <v/>
      </c>
      <c r="K100" s="47">
        <f>K99*Assumptions!$D$32*Assumptions!$B$71</f>
        <v/>
      </c>
      <c r="L100" s="47">
        <f>L99*Assumptions!$D$32*Assumptions!$B$71</f>
        <v/>
      </c>
      <c r="M100" s="47">
        <f>M99*Assumptions!$D$32*Assumptions!$B$71</f>
        <v/>
      </c>
      <c r="N100" s="48">
        <f>SUM(B100:M100)</f>
        <v/>
      </c>
    </row>
    <row r="101">
      <c r="A101" s="44" t="inlineStr">
        <is>
          <t>Customers</t>
        </is>
      </c>
      <c r="B101" s="47">
        <f>B100*Assumptions!$E$32*Assumptions!$B$72</f>
        <v/>
      </c>
      <c r="C101" s="47">
        <f>C100*Assumptions!$E$32*Assumptions!$B$72</f>
        <v/>
      </c>
      <c r="D101" s="47">
        <f>D100*Assumptions!$E$32*Assumptions!$B$72</f>
        <v/>
      </c>
      <c r="E101" s="47">
        <f>E100*Assumptions!$E$32*Assumptions!$B$72</f>
        <v/>
      </c>
      <c r="F101" s="47">
        <f>F100*Assumptions!$E$32*Assumptions!$B$72</f>
        <v/>
      </c>
      <c r="G101" s="47">
        <f>G100*Assumptions!$E$32*Assumptions!$B$72</f>
        <v/>
      </c>
      <c r="H101" s="47">
        <f>H100*Assumptions!$E$32*Assumptions!$B$72</f>
        <v/>
      </c>
      <c r="I101" s="47">
        <f>I100*Assumptions!$E$32*Assumptions!$B$72</f>
        <v/>
      </c>
      <c r="J101" s="47">
        <f>J100*Assumptions!$E$32*Assumptions!$B$72</f>
        <v/>
      </c>
      <c r="K101" s="47">
        <f>K100*Assumptions!$E$32*Assumptions!$B$72</f>
        <v/>
      </c>
      <c r="L101" s="47">
        <f>L100*Assumptions!$E$32*Assumptions!$B$72</f>
        <v/>
      </c>
      <c r="M101" s="47">
        <f>M100*Assumptions!$E$32*Assumptions!$B$72</f>
        <v/>
      </c>
      <c r="N101" s="48">
        <f>SUM(B101:M101)</f>
        <v/>
      </c>
    </row>
    <row r="102">
      <c r="A102" s="44" t="inlineStr">
        <is>
          <t>Revenue (₹)</t>
        </is>
      </c>
      <c r="B102" s="45">
        <f>B101*Assumptions!$F$32*Assumptions!$B$59</f>
        <v/>
      </c>
      <c r="C102" s="45">
        <f>C101*Assumptions!$F$32*Assumptions!$B$59</f>
        <v/>
      </c>
      <c r="D102" s="45">
        <f>D101*Assumptions!$F$32*Assumptions!$B$59</f>
        <v/>
      </c>
      <c r="E102" s="45">
        <f>E101*Assumptions!$F$32*Assumptions!$B$59</f>
        <v/>
      </c>
      <c r="F102" s="45">
        <f>F101*Assumptions!$F$32*Assumptions!$B$59</f>
        <v/>
      </c>
      <c r="G102" s="45">
        <f>G101*Assumptions!$F$32*Assumptions!$B$59</f>
        <v/>
      </c>
      <c r="H102" s="45">
        <f>H101*Assumptions!$F$32*Assumptions!$B$59</f>
        <v/>
      </c>
      <c r="I102" s="45">
        <f>I101*Assumptions!$F$32*Assumptions!$B$59</f>
        <v/>
      </c>
      <c r="J102" s="45">
        <f>J101*Assumptions!$F$32*Assumptions!$B$59</f>
        <v/>
      </c>
      <c r="K102" s="45">
        <f>K101*Assumptions!$F$32*Assumptions!$B$59</f>
        <v/>
      </c>
      <c r="L102" s="45">
        <f>L101*Assumptions!$F$32*Assumptions!$B$59</f>
        <v/>
      </c>
      <c r="M102" s="45">
        <f>M101*Assumptions!$F$32*Assumptions!$B$59</f>
        <v/>
      </c>
      <c r="N102" s="46">
        <f>SUM(B102:M102)</f>
        <v/>
      </c>
    </row>
    <row r="104" ht="16" customHeight="1">
      <c r="A104" s="43" t="inlineStr">
        <is>
          <t>Events &amp; Webinars</t>
        </is>
      </c>
    </row>
    <row r="105">
      <c r="A105" s="44" t="inlineStr">
        <is>
          <t>Spend (₹)</t>
        </is>
      </c>
      <c r="B105" s="45">
        <f>Assumptions!$B$5*Assumptions!$B$33*Assumptions!B$10/Assumptions!$N$10*Assumptions!$B$59</f>
        <v/>
      </c>
      <c r="C105" s="45">
        <f>Assumptions!$B$5*Assumptions!$B$33*Assumptions!C$10/Assumptions!$N$10*Assumptions!$B$59</f>
        <v/>
      </c>
      <c r="D105" s="45">
        <f>Assumptions!$B$5*Assumptions!$B$33*Assumptions!D$10/Assumptions!$N$10*Assumptions!$B$59</f>
        <v/>
      </c>
      <c r="E105" s="45">
        <f>Assumptions!$B$5*Assumptions!$B$33*Assumptions!E$10/Assumptions!$N$10*Assumptions!$B$59</f>
        <v/>
      </c>
      <c r="F105" s="45">
        <f>Assumptions!$B$5*Assumptions!$B$33*Assumptions!F$10/Assumptions!$N$10*Assumptions!$B$59</f>
        <v/>
      </c>
      <c r="G105" s="45">
        <f>Assumptions!$B$5*Assumptions!$B$33*Assumptions!G$10/Assumptions!$N$10*Assumptions!$B$59</f>
        <v/>
      </c>
      <c r="H105" s="45">
        <f>Assumptions!$B$5*Assumptions!$B$33*Assumptions!H$10/Assumptions!$N$10*Assumptions!$B$59</f>
        <v/>
      </c>
      <c r="I105" s="45">
        <f>Assumptions!$B$5*Assumptions!$B$33*Assumptions!I$10/Assumptions!$N$10*Assumptions!$B$59</f>
        <v/>
      </c>
      <c r="J105" s="45">
        <f>Assumptions!$B$5*Assumptions!$B$33*Assumptions!J$10/Assumptions!$N$10*Assumptions!$B$59</f>
        <v/>
      </c>
      <c r="K105" s="45">
        <f>Assumptions!$B$5*Assumptions!$B$33*Assumptions!K$10/Assumptions!$N$10*Assumptions!$B$59</f>
        <v/>
      </c>
      <c r="L105" s="45">
        <f>Assumptions!$B$5*Assumptions!$B$33*Assumptions!L$10/Assumptions!$N$10*Assumptions!$B$59</f>
        <v/>
      </c>
      <c r="M105" s="45">
        <f>Assumptions!$B$5*Assumptions!$B$33*Assumptions!M$10/Assumptions!$N$10*Assumptions!$B$59</f>
        <v/>
      </c>
      <c r="N105" s="46">
        <f>SUM(B105:M105)</f>
        <v/>
      </c>
    </row>
    <row r="106">
      <c r="A106" s="44" t="inlineStr">
        <is>
          <t>Traffic (Visitors)</t>
        </is>
      </c>
      <c r="B106" s="47">
        <f>IFERROR(B105/(Assumptions!$C$33*Assumptions!$B$59),0)</f>
        <v/>
      </c>
      <c r="C106" s="47">
        <f>IFERROR(C105/(Assumptions!$C$33*Assumptions!$B$59),0)</f>
        <v/>
      </c>
      <c r="D106" s="47">
        <f>IFERROR(D105/(Assumptions!$C$33*Assumptions!$B$59),0)</f>
        <v/>
      </c>
      <c r="E106" s="47">
        <f>IFERROR(E105/(Assumptions!$C$33*Assumptions!$B$59),0)</f>
        <v/>
      </c>
      <c r="F106" s="47">
        <f>IFERROR(F105/(Assumptions!$C$33*Assumptions!$B$59),0)</f>
        <v/>
      </c>
      <c r="G106" s="47">
        <f>IFERROR(G105/(Assumptions!$C$33*Assumptions!$B$59),0)</f>
        <v/>
      </c>
      <c r="H106" s="47">
        <f>IFERROR(H105/(Assumptions!$C$33*Assumptions!$B$59),0)</f>
        <v/>
      </c>
      <c r="I106" s="47">
        <f>IFERROR(I105/(Assumptions!$C$33*Assumptions!$B$59),0)</f>
        <v/>
      </c>
      <c r="J106" s="47">
        <f>IFERROR(J105/(Assumptions!$C$33*Assumptions!$B$59),0)</f>
        <v/>
      </c>
      <c r="K106" s="47">
        <f>IFERROR(K105/(Assumptions!$C$33*Assumptions!$B$59),0)</f>
        <v/>
      </c>
      <c r="L106" s="47">
        <f>IFERROR(L105/(Assumptions!$C$33*Assumptions!$B$59),0)</f>
        <v/>
      </c>
      <c r="M106" s="47">
        <f>IFERROR(M105/(Assumptions!$C$33*Assumptions!$B$59),0)</f>
        <v/>
      </c>
      <c r="N106" s="48">
        <f>SUM(B106:M106)</f>
        <v/>
      </c>
    </row>
    <row r="107">
      <c r="A107" s="44" t="inlineStr">
        <is>
          <t>Leads</t>
        </is>
      </c>
      <c r="B107" s="47">
        <f>B106*Assumptions!$D$33*Assumptions!$B$71</f>
        <v/>
      </c>
      <c r="C107" s="47">
        <f>C106*Assumptions!$D$33*Assumptions!$B$71</f>
        <v/>
      </c>
      <c r="D107" s="47">
        <f>D106*Assumptions!$D$33*Assumptions!$B$71</f>
        <v/>
      </c>
      <c r="E107" s="47">
        <f>E106*Assumptions!$D$33*Assumptions!$B$71</f>
        <v/>
      </c>
      <c r="F107" s="47">
        <f>F106*Assumptions!$D$33*Assumptions!$B$71</f>
        <v/>
      </c>
      <c r="G107" s="47">
        <f>G106*Assumptions!$D$33*Assumptions!$B$71</f>
        <v/>
      </c>
      <c r="H107" s="47">
        <f>H106*Assumptions!$D$33*Assumptions!$B$71</f>
        <v/>
      </c>
      <c r="I107" s="47">
        <f>I106*Assumptions!$D$33*Assumptions!$B$71</f>
        <v/>
      </c>
      <c r="J107" s="47">
        <f>J106*Assumptions!$D$33*Assumptions!$B$71</f>
        <v/>
      </c>
      <c r="K107" s="47">
        <f>K106*Assumptions!$D$33*Assumptions!$B$71</f>
        <v/>
      </c>
      <c r="L107" s="47">
        <f>L106*Assumptions!$D$33*Assumptions!$B$71</f>
        <v/>
      </c>
      <c r="M107" s="47">
        <f>M106*Assumptions!$D$33*Assumptions!$B$71</f>
        <v/>
      </c>
      <c r="N107" s="48">
        <f>SUM(B107:M107)</f>
        <v/>
      </c>
    </row>
    <row r="108">
      <c r="A108" s="44" t="inlineStr">
        <is>
          <t>Customers</t>
        </is>
      </c>
      <c r="B108" s="47">
        <f>B107*Assumptions!$E$33*Assumptions!$B$72</f>
        <v/>
      </c>
      <c r="C108" s="47">
        <f>C107*Assumptions!$E$33*Assumptions!$B$72</f>
        <v/>
      </c>
      <c r="D108" s="47">
        <f>D107*Assumptions!$E$33*Assumptions!$B$72</f>
        <v/>
      </c>
      <c r="E108" s="47">
        <f>E107*Assumptions!$E$33*Assumptions!$B$72</f>
        <v/>
      </c>
      <c r="F108" s="47">
        <f>F107*Assumptions!$E$33*Assumptions!$B$72</f>
        <v/>
      </c>
      <c r="G108" s="47">
        <f>G107*Assumptions!$E$33*Assumptions!$B$72</f>
        <v/>
      </c>
      <c r="H108" s="47">
        <f>H107*Assumptions!$E$33*Assumptions!$B$72</f>
        <v/>
      </c>
      <c r="I108" s="47">
        <f>I107*Assumptions!$E$33*Assumptions!$B$72</f>
        <v/>
      </c>
      <c r="J108" s="47">
        <f>J107*Assumptions!$E$33*Assumptions!$B$72</f>
        <v/>
      </c>
      <c r="K108" s="47">
        <f>K107*Assumptions!$E$33*Assumptions!$B$72</f>
        <v/>
      </c>
      <c r="L108" s="47">
        <f>L107*Assumptions!$E$33*Assumptions!$B$72</f>
        <v/>
      </c>
      <c r="M108" s="47">
        <f>M107*Assumptions!$E$33*Assumptions!$B$72</f>
        <v/>
      </c>
      <c r="N108" s="48">
        <f>SUM(B108:M108)</f>
        <v/>
      </c>
    </row>
    <row r="109">
      <c r="A109" s="44" t="inlineStr">
        <is>
          <t>Revenue (₹)</t>
        </is>
      </c>
      <c r="B109" s="45">
        <f>B108*Assumptions!$F$33*Assumptions!$B$59</f>
        <v/>
      </c>
      <c r="C109" s="45">
        <f>C108*Assumptions!$F$33*Assumptions!$B$59</f>
        <v/>
      </c>
      <c r="D109" s="45">
        <f>D108*Assumptions!$F$33*Assumptions!$B$59</f>
        <v/>
      </c>
      <c r="E109" s="45">
        <f>E108*Assumptions!$F$33*Assumptions!$B$59</f>
        <v/>
      </c>
      <c r="F109" s="45">
        <f>F108*Assumptions!$F$33*Assumptions!$B$59</f>
        <v/>
      </c>
      <c r="G109" s="45">
        <f>G108*Assumptions!$F$33*Assumptions!$B$59</f>
        <v/>
      </c>
      <c r="H109" s="45">
        <f>H108*Assumptions!$F$33*Assumptions!$B$59</f>
        <v/>
      </c>
      <c r="I109" s="45">
        <f>I108*Assumptions!$F$33*Assumptions!$B$59</f>
        <v/>
      </c>
      <c r="J109" s="45">
        <f>J108*Assumptions!$F$33*Assumptions!$B$59</f>
        <v/>
      </c>
      <c r="K109" s="45">
        <f>K108*Assumptions!$F$33*Assumptions!$B$59</f>
        <v/>
      </c>
      <c r="L109" s="45">
        <f>L108*Assumptions!$F$33*Assumptions!$B$59</f>
        <v/>
      </c>
      <c r="M109" s="45">
        <f>M108*Assumptions!$F$33*Assumptions!$B$59</f>
        <v/>
      </c>
      <c r="N109" s="46">
        <f>SUM(B109:M109)</f>
        <v/>
      </c>
    </row>
    <row r="111" ht="16" customHeight="1">
      <c r="A111" s="43" t="inlineStr">
        <is>
          <t>PR &amp; Media Outreach</t>
        </is>
      </c>
    </row>
    <row r="112">
      <c r="A112" s="44" t="inlineStr">
        <is>
          <t>Spend (₹)</t>
        </is>
      </c>
      <c r="B112" s="45">
        <f>Assumptions!$B$5*Assumptions!$B$34*Assumptions!B$10/Assumptions!$N$10*Assumptions!$B$59</f>
        <v/>
      </c>
      <c r="C112" s="45">
        <f>Assumptions!$B$5*Assumptions!$B$34*Assumptions!C$10/Assumptions!$N$10*Assumptions!$B$59</f>
        <v/>
      </c>
      <c r="D112" s="45">
        <f>Assumptions!$B$5*Assumptions!$B$34*Assumptions!D$10/Assumptions!$N$10*Assumptions!$B$59</f>
        <v/>
      </c>
      <c r="E112" s="45">
        <f>Assumptions!$B$5*Assumptions!$B$34*Assumptions!E$10/Assumptions!$N$10*Assumptions!$B$59</f>
        <v/>
      </c>
      <c r="F112" s="45">
        <f>Assumptions!$B$5*Assumptions!$B$34*Assumptions!F$10/Assumptions!$N$10*Assumptions!$B$59</f>
        <v/>
      </c>
      <c r="G112" s="45">
        <f>Assumptions!$B$5*Assumptions!$B$34*Assumptions!G$10/Assumptions!$N$10*Assumptions!$B$59</f>
        <v/>
      </c>
      <c r="H112" s="45">
        <f>Assumptions!$B$5*Assumptions!$B$34*Assumptions!H$10/Assumptions!$N$10*Assumptions!$B$59</f>
        <v/>
      </c>
      <c r="I112" s="45">
        <f>Assumptions!$B$5*Assumptions!$B$34*Assumptions!I$10/Assumptions!$N$10*Assumptions!$B$59</f>
        <v/>
      </c>
      <c r="J112" s="45">
        <f>Assumptions!$B$5*Assumptions!$B$34*Assumptions!J$10/Assumptions!$N$10*Assumptions!$B$59</f>
        <v/>
      </c>
      <c r="K112" s="45">
        <f>Assumptions!$B$5*Assumptions!$B$34*Assumptions!K$10/Assumptions!$N$10*Assumptions!$B$59</f>
        <v/>
      </c>
      <c r="L112" s="45">
        <f>Assumptions!$B$5*Assumptions!$B$34*Assumptions!L$10/Assumptions!$N$10*Assumptions!$B$59</f>
        <v/>
      </c>
      <c r="M112" s="45">
        <f>Assumptions!$B$5*Assumptions!$B$34*Assumptions!M$10/Assumptions!$N$10*Assumptions!$B$59</f>
        <v/>
      </c>
      <c r="N112" s="46">
        <f>SUM(B112:M112)</f>
        <v/>
      </c>
    </row>
    <row r="113">
      <c r="A113" s="44" t="inlineStr">
        <is>
          <t>Traffic (Visitors)</t>
        </is>
      </c>
      <c r="B113" s="47">
        <f>IFERROR(B112/(Assumptions!$C$34*Assumptions!$B$59),0)</f>
        <v/>
      </c>
      <c r="C113" s="47">
        <f>IFERROR(C112/(Assumptions!$C$34*Assumptions!$B$59),0)</f>
        <v/>
      </c>
      <c r="D113" s="47">
        <f>IFERROR(D112/(Assumptions!$C$34*Assumptions!$B$59),0)</f>
        <v/>
      </c>
      <c r="E113" s="47">
        <f>IFERROR(E112/(Assumptions!$C$34*Assumptions!$B$59),0)</f>
        <v/>
      </c>
      <c r="F113" s="47">
        <f>IFERROR(F112/(Assumptions!$C$34*Assumptions!$B$59),0)</f>
        <v/>
      </c>
      <c r="G113" s="47">
        <f>IFERROR(G112/(Assumptions!$C$34*Assumptions!$B$59),0)</f>
        <v/>
      </c>
      <c r="H113" s="47">
        <f>IFERROR(H112/(Assumptions!$C$34*Assumptions!$B$59),0)</f>
        <v/>
      </c>
      <c r="I113" s="47">
        <f>IFERROR(I112/(Assumptions!$C$34*Assumptions!$B$59),0)</f>
        <v/>
      </c>
      <c r="J113" s="47">
        <f>IFERROR(J112/(Assumptions!$C$34*Assumptions!$B$59),0)</f>
        <v/>
      </c>
      <c r="K113" s="47">
        <f>IFERROR(K112/(Assumptions!$C$34*Assumptions!$B$59),0)</f>
        <v/>
      </c>
      <c r="L113" s="47">
        <f>IFERROR(L112/(Assumptions!$C$34*Assumptions!$B$59),0)</f>
        <v/>
      </c>
      <c r="M113" s="47">
        <f>IFERROR(M112/(Assumptions!$C$34*Assumptions!$B$59),0)</f>
        <v/>
      </c>
      <c r="N113" s="48">
        <f>SUM(B113:M113)</f>
        <v/>
      </c>
    </row>
    <row r="114">
      <c r="A114" s="44" t="inlineStr">
        <is>
          <t>Leads</t>
        </is>
      </c>
      <c r="B114" s="47">
        <f>B113*Assumptions!$D$34*Assumptions!$B$71</f>
        <v/>
      </c>
      <c r="C114" s="47">
        <f>C113*Assumptions!$D$34*Assumptions!$B$71</f>
        <v/>
      </c>
      <c r="D114" s="47">
        <f>D113*Assumptions!$D$34*Assumptions!$B$71</f>
        <v/>
      </c>
      <c r="E114" s="47">
        <f>E113*Assumptions!$D$34*Assumptions!$B$71</f>
        <v/>
      </c>
      <c r="F114" s="47">
        <f>F113*Assumptions!$D$34*Assumptions!$B$71</f>
        <v/>
      </c>
      <c r="G114" s="47">
        <f>G113*Assumptions!$D$34*Assumptions!$B$71</f>
        <v/>
      </c>
      <c r="H114" s="47">
        <f>H113*Assumptions!$D$34*Assumptions!$B$71</f>
        <v/>
      </c>
      <c r="I114" s="47">
        <f>I113*Assumptions!$D$34*Assumptions!$B$71</f>
        <v/>
      </c>
      <c r="J114" s="47">
        <f>J113*Assumptions!$D$34*Assumptions!$B$71</f>
        <v/>
      </c>
      <c r="K114" s="47">
        <f>K113*Assumptions!$D$34*Assumptions!$B$71</f>
        <v/>
      </c>
      <c r="L114" s="47">
        <f>L113*Assumptions!$D$34*Assumptions!$B$71</f>
        <v/>
      </c>
      <c r="M114" s="47">
        <f>M113*Assumptions!$D$34*Assumptions!$B$71</f>
        <v/>
      </c>
      <c r="N114" s="48">
        <f>SUM(B114:M114)</f>
        <v/>
      </c>
    </row>
    <row r="115">
      <c r="A115" s="44" t="inlineStr">
        <is>
          <t>Customers</t>
        </is>
      </c>
      <c r="B115" s="47">
        <f>B114*Assumptions!$E$34*Assumptions!$B$72</f>
        <v/>
      </c>
      <c r="C115" s="47">
        <f>C114*Assumptions!$E$34*Assumptions!$B$72</f>
        <v/>
      </c>
      <c r="D115" s="47">
        <f>D114*Assumptions!$E$34*Assumptions!$B$72</f>
        <v/>
      </c>
      <c r="E115" s="47">
        <f>E114*Assumptions!$E$34*Assumptions!$B$72</f>
        <v/>
      </c>
      <c r="F115" s="47">
        <f>F114*Assumptions!$E$34*Assumptions!$B$72</f>
        <v/>
      </c>
      <c r="G115" s="47">
        <f>G114*Assumptions!$E$34*Assumptions!$B$72</f>
        <v/>
      </c>
      <c r="H115" s="47">
        <f>H114*Assumptions!$E$34*Assumptions!$B$72</f>
        <v/>
      </c>
      <c r="I115" s="47">
        <f>I114*Assumptions!$E$34*Assumptions!$B$72</f>
        <v/>
      </c>
      <c r="J115" s="47">
        <f>J114*Assumptions!$E$34*Assumptions!$B$72</f>
        <v/>
      </c>
      <c r="K115" s="47">
        <f>K114*Assumptions!$E$34*Assumptions!$B$72</f>
        <v/>
      </c>
      <c r="L115" s="47">
        <f>L114*Assumptions!$E$34*Assumptions!$B$72</f>
        <v/>
      </c>
      <c r="M115" s="47">
        <f>M114*Assumptions!$E$34*Assumptions!$B$72</f>
        <v/>
      </c>
      <c r="N115" s="48">
        <f>SUM(B115:M115)</f>
        <v/>
      </c>
    </row>
    <row r="116">
      <c r="A116" s="44" t="inlineStr">
        <is>
          <t>Revenue (₹)</t>
        </is>
      </c>
      <c r="B116" s="45">
        <f>B115*Assumptions!$F$34*Assumptions!$B$59</f>
        <v/>
      </c>
      <c r="C116" s="45">
        <f>C115*Assumptions!$F$34*Assumptions!$B$59</f>
        <v/>
      </c>
      <c r="D116" s="45">
        <f>D115*Assumptions!$F$34*Assumptions!$B$59</f>
        <v/>
      </c>
      <c r="E116" s="45">
        <f>E115*Assumptions!$F$34*Assumptions!$B$59</f>
        <v/>
      </c>
      <c r="F116" s="45">
        <f>F115*Assumptions!$F$34*Assumptions!$B$59</f>
        <v/>
      </c>
      <c r="G116" s="45">
        <f>G115*Assumptions!$F$34*Assumptions!$B$59</f>
        <v/>
      </c>
      <c r="H116" s="45">
        <f>H115*Assumptions!$F$34*Assumptions!$B$59</f>
        <v/>
      </c>
      <c r="I116" s="45">
        <f>I115*Assumptions!$F$34*Assumptions!$B$59</f>
        <v/>
      </c>
      <c r="J116" s="45">
        <f>J115*Assumptions!$F$34*Assumptions!$B$59</f>
        <v/>
      </c>
      <c r="K116" s="45">
        <f>K115*Assumptions!$F$34*Assumptions!$B$59</f>
        <v/>
      </c>
      <c r="L116" s="45">
        <f>L115*Assumptions!$F$34*Assumptions!$B$59</f>
        <v/>
      </c>
      <c r="M116" s="45">
        <f>M115*Assumptions!$F$34*Assumptions!$B$59</f>
        <v/>
      </c>
      <c r="N116" s="46">
        <f>SUM(B116:M116)</f>
        <v/>
      </c>
    </row>
    <row r="118" ht="16" customHeight="1">
      <c r="A118" s="49" t="inlineStr">
        <is>
          <t>TOTAL — ALL CHANNELS</t>
        </is>
      </c>
    </row>
    <row r="119">
      <c r="A119" s="9" t="inlineStr">
        <is>
          <t>Spend (₹)</t>
        </is>
      </c>
      <c r="B119" s="46">
        <f>B7+B14+B21+B28+B35+B42+B49+B56+B63+B70+B77+B84+B91+B98+B105+B112</f>
        <v/>
      </c>
      <c r="C119" s="46">
        <f>C7+C14+C21+C28+C35+C42+C49+C56+C63+C70+C77+C84+C91+C98+C105+C112</f>
        <v/>
      </c>
      <c r="D119" s="46">
        <f>D7+D14+D21+D28+D35+D42+D49+D56+D63+D70+D77+D84+D91+D98+D105+D112</f>
        <v/>
      </c>
      <c r="E119" s="46">
        <f>E7+E14+E21+E28+E35+E42+E49+E56+E63+E70+E77+E84+E91+E98+E105+E112</f>
        <v/>
      </c>
      <c r="F119" s="46">
        <f>F7+F14+F21+F28+F35+F42+F49+F56+F63+F70+F77+F84+F91+F98+F105+F112</f>
        <v/>
      </c>
      <c r="G119" s="46">
        <f>G7+G14+G21+G28+G35+G42+G49+G56+G63+G70+G77+G84+G91+G98+G105+G112</f>
        <v/>
      </c>
      <c r="H119" s="46">
        <f>H7+H14+H21+H28+H35+H42+H49+H56+H63+H70+H77+H84+H91+H98+H105+H112</f>
        <v/>
      </c>
      <c r="I119" s="46">
        <f>I7+I14+I21+I28+I35+I42+I49+I56+I63+I70+I77+I84+I91+I98+I105+I112</f>
        <v/>
      </c>
      <c r="J119" s="46">
        <f>J7+J14+J21+J28+J35+J42+J49+J56+J63+J70+J77+J84+J91+J98+J105+J112</f>
        <v/>
      </c>
      <c r="K119" s="46">
        <f>K7+K14+K21+K28+K35+K42+K49+K56+K63+K70+K77+K84+K91+K98+K105+K112</f>
        <v/>
      </c>
      <c r="L119" s="46">
        <f>L7+L14+L21+L28+L35+L42+L49+L56+L63+L70+L77+L84+L91+L98+L105+L112</f>
        <v/>
      </c>
      <c r="M119" s="46">
        <f>M7+M14+M21+M28+M35+M42+M49+M56+M63+M70+M77+M84+M91+M98+M105+M112</f>
        <v/>
      </c>
      <c r="N119" s="46">
        <f>SUM(B119:M119)</f>
        <v/>
      </c>
    </row>
    <row r="120">
      <c r="A120" s="9" t="inlineStr">
        <is>
          <t>Traffic (Visitors)</t>
        </is>
      </c>
      <c r="B120" s="48">
        <f>B8+B15+B22+B29+B36+B43+B50+B57+B64+B71+B78+B85+B92+B99+B106+B113</f>
        <v/>
      </c>
      <c r="C120" s="48">
        <f>C8+C15+C22+C29+C36+C43+C50+C57+C64+C71+C78+C85+C92+C99+C106+C113</f>
        <v/>
      </c>
      <c r="D120" s="48">
        <f>D8+D15+D22+D29+D36+D43+D50+D57+D64+D71+D78+D85+D92+D99+D106+D113</f>
        <v/>
      </c>
      <c r="E120" s="48">
        <f>E8+E15+E22+E29+E36+E43+E50+E57+E64+E71+E78+E85+E92+E99+E106+E113</f>
        <v/>
      </c>
      <c r="F120" s="48">
        <f>F8+F15+F22+F29+F36+F43+F50+F57+F64+F71+F78+F85+F92+F99+F106+F113</f>
        <v/>
      </c>
      <c r="G120" s="48">
        <f>G8+G15+G22+G29+G36+G43+G50+G57+G64+G71+G78+G85+G92+G99+G106+G113</f>
        <v/>
      </c>
      <c r="H120" s="48">
        <f>H8+H15+H22+H29+H36+H43+H50+H57+H64+H71+H78+H85+H92+H99+H106+H113</f>
        <v/>
      </c>
      <c r="I120" s="48">
        <f>I8+I15+I22+I29+I36+I43+I50+I57+I64+I71+I78+I85+I92+I99+I106+I113</f>
        <v/>
      </c>
      <c r="J120" s="48">
        <f>J8+J15+J22+J29+J36+J43+J50+J57+J64+J71+J78+J85+J92+J99+J106+J113</f>
        <v/>
      </c>
      <c r="K120" s="48">
        <f>K8+K15+K22+K29+K36+K43+K50+K57+K64+K71+K78+K85+K92+K99+K106+K113</f>
        <v/>
      </c>
      <c r="L120" s="48">
        <f>L8+L15+L22+L29+L36+L43+L50+L57+L64+L71+L78+L85+L92+L99+L106+L113</f>
        <v/>
      </c>
      <c r="M120" s="48">
        <f>M8+M15+M22+M29+M36+M43+M50+M57+M64+M71+M78+M85+M92+M99+M106+M113</f>
        <v/>
      </c>
      <c r="N120" s="48">
        <f>SUM(B120:M120)</f>
        <v/>
      </c>
    </row>
    <row r="121">
      <c r="A121" s="9" t="inlineStr">
        <is>
          <t>Leads</t>
        </is>
      </c>
      <c r="B121" s="48">
        <f>B9+B16+B23+B30+B37+B44+B51+B58+B65+B72+B79+B86+B93+B100+B107+B114</f>
        <v/>
      </c>
      <c r="C121" s="48">
        <f>C9+C16+C23+C30+C37+C44+C51+C58+C65+C72+C79+C86+C93+C100+C107+C114</f>
        <v/>
      </c>
      <c r="D121" s="48">
        <f>D9+D16+D23+D30+D37+D44+D51+D58+D65+D72+D79+D86+D93+D100+D107+D114</f>
        <v/>
      </c>
      <c r="E121" s="48">
        <f>E9+E16+E23+E30+E37+E44+E51+E58+E65+E72+E79+E86+E93+E100+E107+E114</f>
        <v/>
      </c>
      <c r="F121" s="48">
        <f>F9+F16+F23+F30+F37+F44+F51+F58+F65+F72+F79+F86+F93+F100+F107+F114</f>
        <v/>
      </c>
      <c r="G121" s="48">
        <f>G9+G16+G23+G30+G37+G44+G51+G58+G65+G72+G79+G86+G93+G100+G107+G114</f>
        <v/>
      </c>
      <c r="H121" s="48">
        <f>H9+H16+H23+H30+H37+H44+H51+H58+H65+H72+H79+H86+H93+H100+H107+H114</f>
        <v/>
      </c>
      <c r="I121" s="48">
        <f>I9+I16+I23+I30+I37+I44+I51+I58+I65+I72+I79+I86+I93+I100+I107+I114</f>
        <v/>
      </c>
      <c r="J121" s="48">
        <f>J9+J16+J23+J30+J37+J44+J51+J58+J65+J72+J79+J86+J93+J100+J107+J114</f>
        <v/>
      </c>
      <c r="K121" s="48">
        <f>K9+K16+K23+K30+K37+K44+K51+K58+K65+K72+K79+K86+K93+K100+K107+K114</f>
        <v/>
      </c>
      <c r="L121" s="48">
        <f>L9+L16+L23+L30+L37+L44+L51+L58+L65+L72+L79+L86+L93+L100+L107+L114</f>
        <v/>
      </c>
      <c r="M121" s="48">
        <f>M9+M16+M23+M30+M37+M44+M51+M58+M65+M72+M79+M86+M93+M100+M107+M114</f>
        <v/>
      </c>
      <c r="N121" s="48">
        <f>SUM(B121:M121)</f>
        <v/>
      </c>
    </row>
    <row r="122">
      <c r="A122" s="9" t="inlineStr">
        <is>
          <t>Customers</t>
        </is>
      </c>
      <c r="B122" s="48">
        <f>B10+B17+B24+B31+B38+B45+B52+B59+B66+B73+B80+B87+B94+B101+B108+B115</f>
        <v/>
      </c>
      <c r="C122" s="48">
        <f>C10+C17+C24+C31+C38+C45+C52+C59+C66+C73+C80+C87+C94+C101+C108+C115</f>
        <v/>
      </c>
      <c r="D122" s="48">
        <f>D10+D17+D24+D31+D38+D45+D52+D59+D66+D73+D80+D87+D94+D101+D108+D115</f>
        <v/>
      </c>
      <c r="E122" s="48">
        <f>E10+E17+E24+E31+E38+E45+E52+E59+E66+E73+E80+E87+E94+E101+E108+E115</f>
        <v/>
      </c>
      <c r="F122" s="48">
        <f>F10+F17+F24+F31+F38+F45+F52+F59+F66+F73+F80+F87+F94+F101+F108+F115</f>
        <v/>
      </c>
      <c r="G122" s="48">
        <f>G10+G17+G24+G31+G38+G45+G52+G59+G66+G73+G80+G87+G94+G101+G108+G115</f>
        <v/>
      </c>
      <c r="H122" s="48">
        <f>H10+H17+H24+H31+H38+H45+H52+H59+H66+H73+H80+H87+H94+H101+H108+H115</f>
        <v/>
      </c>
      <c r="I122" s="48">
        <f>I10+I17+I24+I31+I38+I45+I52+I59+I66+I73+I80+I87+I94+I101+I108+I115</f>
        <v/>
      </c>
      <c r="J122" s="48">
        <f>J10+J17+J24+J31+J38+J45+J52+J59+J66+J73+J80+J87+J94+J101+J108+J115</f>
        <v/>
      </c>
      <c r="K122" s="48">
        <f>K10+K17+K24+K31+K38+K45+K52+K59+K66+K73+K80+K87+K94+K101+K108+K115</f>
        <v/>
      </c>
      <c r="L122" s="48">
        <f>L10+L17+L24+L31+L38+L45+L52+L59+L66+L73+L80+L87+L94+L101+L108+L115</f>
        <v/>
      </c>
      <c r="M122" s="48">
        <f>M10+M17+M24+M31+M38+M45+M52+M59+M66+M73+M80+M87+M94+M101+M108+M115</f>
        <v/>
      </c>
      <c r="N122" s="48">
        <f>SUM(B122:M122)</f>
        <v/>
      </c>
    </row>
    <row r="123">
      <c r="A123" s="9" t="inlineStr">
        <is>
          <t>Revenue (₹)</t>
        </is>
      </c>
      <c r="B123" s="46">
        <f>B11+B18+B25+B32+B39+B46+B53+B60+B67+B74+B81+B88+B95+B102+B109+B116</f>
        <v/>
      </c>
      <c r="C123" s="46">
        <f>C11+C18+C25+C32+C39+C46+C53+C60+C67+C74+C81+C88+C95+C102+C109+C116</f>
        <v/>
      </c>
      <c r="D123" s="46">
        <f>D11+D18+D25+D32+D39+D46+D53+D60+D67+D74+D81+D88+D95+D102+D109+D116</f>
        <v/>
      </c>
      <c r="E123" s="46">
        <f>E11+E18+E25+E32+E39+E46+E53+E60+E67+E74+E81+E88+E95+E102+E109+E116</f>
        <v/>
      </c>
      <c r="F123" s="46">
        <f>F11+F18+F25+F32+F39+F46+F53+F60+F67+F74+F81+F88+F95+F102+F109+F116</f>
        <v/>
      </c>
      <c r="G123" s="46">
        <f>G11+G18+G25+G32+G39+G46+G53+G60+G67+G74+G81+G88+G95+G102+G109+G116</f>
        <v/>
      </c>
      <c r="H123" s="46">
        <f>H11+H18+H25+H32+H39+H46+H53+H60+H67+H74+H81+H88+H95+H102+H109+H116</f>
        <v/>
      </c>
      <c r="I123" s="46">
        <f>I11+I18+I25+I32+I39+I46+I53+I60+I67+I74+I81+I88+I95+I102+I109+I116</f>
        <v/>
      </c>
      <c r="J123" s="46">
        <f>J11+J18+J25+J32+J39+J46+J53+J60+J67+J74+J81+J88+J95+J102+J109+J116</f>
        <v/>
      </c>
      <c r="K123" s="46">
        <f>K11+K18+K25+K32+K39+K46+K53+K60+K67+K74+K81+K88+K95+K102+K109+K116</f>
        <v/>
      </c>
      <c r="L123" s="46">
        <f>L11+L18+L25+L32+L39+L46+L53+L60+L67+L74+L81+L88+L95+L102+L109+L116</f>
        <v/>
      </c>
      <c r="M123" s="46">
        <f>M11+M18+M25+M32+M39+M46+M53+M60+M67+M74+M81+M88+M95+M102+M109+M116</f>
        <v/>
      </c>
      <c r="N123" s="46">
        <f>SUM(B123:M123)</f>
        <v/>
      </c>
    </row>
    <row r="124">
      <c r="A124" s="9" t="inlineStr">
        <is>
          <t>ROI %</t>
        </is>
      </c>
      <c r="B124" s="50">
        <f>IFERROR((B123-B119)/B119,0)</f>
        <v/>
      </c>
      <c r="C124" s="50">
        <f>IFERROR((C123-C119)/C119,0)</f>
        <v/>
      </c>
      <c r="D124" s="50">
        <f>IFERROR((D123-D119)/D119,0)</f>
        <v/>
      </c>
      <c r="E124" s="50">
        <f>IFERROR((E123-E119)/E119,0)</f>
        <v/>
      </c>
      <c r="F124" s="50">
        <f>IFERROR((F123-F119)/F119,0)</f>
        <v/>
      </c>
      <c r="G124" s="50">
        <f>IFERROR((G123-G119)/G119,0)</f>
        <v/>
      </c>
      <c r="H124" s="50">
        <f>IFERROR((H123-H119)/H119,0)</f>
        <v/>
      </c>
      <c r="I124" s="50">
        <f>IFERROR((I123-I119)/I119,0)</f>
        <v/>
      </c>
      <c r="J124" s="50">
        <f>IFERROR((J123-J119)/J119,0)</f>
        <v/>
      </c>
      <c r="K124" s="50">
        <f>IFERROR((K123-K119)/K119,0)</f>
        <v/>
      </c>
      <c r="L124" s="50">
        <f>IFERROR((L123-L119)/L119,0)</f>
        <v/>
      </c>
      <c r="M124" s="50">
        <f>IFERROR((M123-M119)/M119,0)</f>
        <v/>
      </c>
      <c r="N124" s="50">
        <f>IFERROR((N123-N119)/N119,0)</f>
        <v/>
      </c>
    </row>
    <row r="125">
      <c r="A125" s="9" t="inlineStr">
        <is>
          <t>ROAS (x)</t>
        </is>
      </c>
      <c r="B125" s="51">
        <f>IFERROR(B123/B119,0)</f>
        <v/>
      </c>
      <c r="C125" s="51">
        <f>IFERROR(C123/C119,0)</f>
        <v/>
      </c>
      <c r="D125" s="51">
        <f>IFERROR(D123/D119,0)</f>
        <v/>
      </c>
      <c r="E125" s="51">
        <f>IFERROR(E123/E119,0)</f>
        <v/>
      </c>
      <c r="F125" s="51">
        <f>IFERROR(F123/F119,0)</f>
        <v/>
      </c>
      <c r="G125" s="51">
        <f>IFERROR(G123/G119,0)</f>
        <v/>
      </c>
      <c r="H125" s="51">
        <f>IFERROR(H123/H119,0)</f>
        <v/>
      </c>
      <c r="I125" s="51">
        <f>IFERROR(I123/I119,0)</f>
        <v/>
      </c>
      <c r="J125" s="51">
        <f>IFERROR(J123/J119,0)</f>
        <v/>
      </c>
      <c r="K125" s="51">
        <f>IFERROR(K123/K119,0)</f>
        <v/>
      </c>
      <c r="L125" s="51">
        <f>IFERROR(L123/L119,0)</f>
        <v/>
      </c>
      <c r="M125" s="51">
        <f>IFERROR(M123/M119,0)</f>
        <v/>
      </c>
      <c r="N125" s="51">
        <f>IFERROR(N123/N119,0)</f>
        <v/>
      </c>
    </row>
    <row r="126">
      <c r="A126" s="9" t="inlineStr">
        <is>
          <t>CAC (₹)</t>
        </is>
      </c>
      <c r="B126" s="52">
        <f>IFERROR(B119/B122,0)</f>
        <v/>
      </c>
      <c r="C126" s="52">
        <f>IFERROR(C119/C122,0)</f>
        <v/>
      </c>
      <c r="D126" s="52">
        <f>IFERROR(D119/D122,0)</f>
        <v/>
      </c>
      <c r="E126" s="52">
        <f>IFERROR(E119/E122,0)</f>
        <v/>
      </c>
      <c r="F126" s="52">
        <f>IFERROR(F119/F122,0)</f>
        <v/>
      </c>
      <c r="G126" s="52">
        <f>IFERROR(G119/G122,0)</f>
        <v/>
      </c>
      <c r="H126" s="52">
        <f>IFERROR(H119/H122,0)</f>
        <v/>
      </c>
      <c r="I126" s="52">
        <f>IFERROR(I119/I122,0)</f>
        <v/>
      </c>
      <c r="J126" s="52">
        <f>IFERROR(J119/J122,0)</f>
        <v/>
      </c>
      <c r="K126" s="52">
        <f>IFERROR(K119/K122,0)</f>
        <v/>
      </c>
      <c r="L126" s="52">
        <f>IFERROR(L119/L122,0)</f>
        <v/>
      </c>
      <c r="M126" s="52">
        <f>IFERROR(M119/M122,0)</f>
        <v/>
      </c>
      <c r="N126" s="52">
        <f>IFERROR(N119/N122,0)</f>
        <v/>
      </c>
    </row>
  </sheetData>
  <mergeCells count="19">
    <mergeCell ref="A34:N34"/>
    <mergeCell ref="A83:N83"/>
    <mergeCell ref="A48:N48"/>
    <mergeCell ref="A1:N1"/>
    <mergeCell ref="A6:N6"/>
    <mergeCell ref="A69:N69"/>
    <mergeCell ref="A41:N41"/>
    <mergeCell ref="A90:N90"/>
    <mergeCell ref="A118:N118"/>
    <mergeCell ref="A27:N27"/>
    <mergeCell ref="A13:N13"/>
    <mergeCell ref="A55:N55"/>
    <mergeCell ref="A2:N2"/>
    <mergeCell ref="A104:N104"/>
    <mergeCell ref="A76:N76"/>
    <mergeCell ref="A97:N97"/>
    <mergeCell ref="A62:N62"/>
    <mergeCell ref="A20:N20"/>
    <mergeCell ref="A111:N111"/>
  </mergeCells>
  <conditionalFormatting sqref="B7:N7">
    <cfRule type="expression" priority="1" dxfId="32">
      <formula>Assumptions!$B$57="USD"</formula>
    </cfRule>
  </conditionalFormatting>
  <conditionalFormatting sqref="B11:N11">
    <cfRule type="expression" priority="2" dxfId="33">
      <formula>Assumptions!$B$57="USD"</formula>
    </cfRule>
  </conditionalFormatting>
  <conditionalFormatting sqref="B14:N14">
    <cfRule type="expression" priority="3" dxfId="34">
      <formula>Assumptions!$B$57="USD"</formula>
    </cfRule>
  </conditionalFormatting>
  <conditionalFormatting sqref="B18:N18">
    <cfRule type="expression" priority="4" dxfId="35">
      <formula>Assumptions!$B$57="USD"</formula>
    </cfRule>
  </conditionalFormatting>
  <conditionalFormatting sqref="B21:N21">
    <cfRule type="expression" priority="5" dxfId="36">
      <formula>Assumptions!$B$57="USD"</formula>
    </cfRule>
  </conditionalFormatting>
  <conditionalFormatting sqref="B25:N25">
    <cfRule type="expression" priority="6" dxfId="37">
      <formula>Assumptions!$B$57="USD"</formula>
    </cfRule>
  </conditionalFormatting>
  <conditionalFormatting sqref="B28:N28">
    <cfRule type="expression" priority="7" dxfId="38">
      <formula>Assumptions!$B$57="USD"</formula>
    </cfRule>
  </conditionalFormatting>
  <conditionalFormatting sqref="B32:N32">
    <cfRule type="expression" priority="8" dxfId="39">
      <formula>Assumptions!$B$57="USD"</formula>
    </cfRule>
  </conditionalFormatting>
  <conditionalFormatting sqref="B35:N35">
    <cfRule type="expression" priority="9" dxfId="40">
      <formula>Assumptions!$B$57="USD"</formula>
    </cfRule>
  </conditionalFormatting>
  <conditionalFormatting sqref="B39:N39">
    <cfRule type="expression" priority="10" dxfId="41">
      <formula>Assumptions!$B$57="USD"</formula>
    </cfRule>
  </conditionalFormatting>
  <conditionalFormatting sqref="B42:N42">
    <cfRule type="expression" priority="11" dxfId="42">
      <formula>Assumptions!$B$57="USD"</formula>
    </cfRule>
  </conditionalFormatting>
  <conditionalFormatting sqref="B46:N46">
    <cfRule type="expression" priority="12" dxfId="43">
      <formula>Assumptions!$B$57="USD"</formula>
    </cfRule>
  </conditionalFormatting>
  <conditionalFormatting sqref="B49:N49">
    <cfRule type="expression" priority="13" dxfId="44">
      <formula>Assumptions!$B$57="USD"</formula>
    </cfRule>
  </conditionalFormatting>
  <conditionalFormatting sqref="B53:N53">
    <cfRule type="expression" priority="14" dxfId="45">
      <formula>Assumptions!$B$57="USD"</formula>
    </cfRule>
  </conditionalFormatting>
  <conditionalFormatting sqref="B56:N56">
    <cfRule type="expression" priority="15" dxfId="46">
      <formula>Assumptions!$B$57="USD"</formula>
    </cfRule>
  </conditionalFormatting>
  <conditionalFormatting sqref="B60:N60">
    <cfRule type="expression" priority="16" dxfId="47">
      <formula>Assumptions!$B$57="USD"</formula>
    </cfRule>
  </conditionalFormatting>
  <conditionalFormatting sqref="B63:N63">
    <cfRule type="expression" priority="17" dxfId="48">
      <formula>Assumptions!$B$57="USD"</formula>
    </cfRule>
  </conditionalFormatting>
  <conditionalFormatting sqref="B67:N67">
    <cfRule type="expression" priority="18" dxfId="49">
      <formula>Assumptions!$B$57="USD"</formula>
    </cfRule>
  </conditionalFormatting>
  <conditionalFormatting sqref="B70:N70">
    <cfRule type="expression" priority="19" dxfId="50">
      <formula>Assumptions!$B$57="USD"</formula>
    </cfRule>
  </conditionalFormatting>
  <conditionalFormatting sqref="B74:N74">
    <cfRule type="expression" priority="20" dxfId="51">
      <formula>Assumptions!$B$57="USD"</formula>
    </cfRule>
  </conditionalFormatting>
  <conditionalFormatting sqref="B77:N77">
    <cfRule type="expression" priority="21" dxfId="52">
      <formula>Assumptions!$B$57="USD"</formula>
    </cfRule>
  </conditionalFormatting>
  <conditionalFormatting sqref="B81:N81">
    <cfRule type="expression" priority="22" dxfId="53">
      <formula>Assumptions!$B$57="USD"</formula>
    </cfRule>
  </conditionalFormatting>
  <conditionalFormatting sqref="B84:N84">
    <cfRule type="expression" priority="23" dxfId="54">
      <formula>Assumptions!$B$57="USD"</formula>
    </cfRule>
  </conditionalFormatting>
  <conditionalFormatting sqref="B88:N88">
    <cfRule type="expression" priority="24" dxfId="55">
      <formula>Assumptions!$B$57="USD"</formula>
    </cfRule>
  </conditionalFormatting>
  <conditionalFormatting sqref="B91:N91">
    <cfRule type="expression" priority="25" dxfId="56">
      <formula>Assumptions!$B$57="USD"</formula>
    </cfRule>
  </conditionalFormatting>
  <conditionalFormatting sqref="B95:N95">
    <cfRule type="expression" priority="26" dxfId="57">
      <formula>Assumptions!$B$57="USD"</formula>
    </cfRule>
  </conditionalFormatting>
  <conditionalFormatting sqref="B98:N98">
    <cfRule type="expression" priority="27" dxfId="58">
      <formula>Assumptions!$B$57="USD"</formula>
    </cfRule>
  </conditionalFormatting>
  <conditionalFormatting sqref="B102:N102">
    <cfRule type="expression" priority="28" dxfId="59">
      <formula>Assumptions!$B$57="USD"</formula>
    </cfRule>
  </conditionalFormatting>
  <conditionalFormatting sqref="B105:N105">
    <cfRule type="expression" priority="29" dxfId="60">
      <formula>Assumptions!$B$57="USD"</formula>
    </cfRule>
  </conditionalFormatting>
  <conditionalFormatting sqref="B109:N109">
    <cfRule type="expression" priority="30" dxfId="61">
      <formula>Assumptions!$B$57="USD"</formula>
    </cfRule>
  </conditionalFormatting>
  <conditionalFormatting sqref="B112:N112">
    <cfRule type="expression" priority="31" dxfId="62">
      <formula>Assumptions!$B$57="USD"</formula>
    </cfRule>
  </conditionalFormatting>
  <conditionalFormatting sqref="B116:N116">
    <cfRule type="expression" priority="32" dxfId="63">
      <formula>Assumptions!$B$57="USD"</formula>
    </cfRule>
  </conditionalFormatting>
  <conditionalFormatting sqref="B119:N119">
    <cfRule type="expression" priority="33" dxfId="64">
      <formula>Assumptions!$B$57="USD"</formula>
    </cfRule>
  </conditionalFormatting>
  <conditionalFormatting sqref="B123:N123">
    <cfRule type="expression" priority="34" dxfId="65">
      <formula>Assumptions!$B$57="USD"</formula>
    </cfRule>
  </conditionalFormatting>
  <conditionalFormatting sqref="B126:N126">
    <cfRule type="expression" priority="35" dxfId="66">
      <formula>Assumptions!$B$57="USD"</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101"/>
  <sheetViews>
    <sheetView showGridLines="0" workbookViewId="0">
      <pane ySplit="2" topLeftCell="A3" activePane="bottomLeft" state="frozen"/>
      <selection pane="bottomLeft" activeCell="A1" sqref="A1"/>
    </sheetView>
  </sheetViews>
  <sheetFormatPr baseColWidth="8" defaultRowHeight="15"/>
  <cols>
    <col width="32" customWidth="1" min="1" max="1"/>
    <col width="16" customWidth="1" min="2" max="2"/>
    <col width="18" customWidth="1" min="3" max="3"/>
    <col width="16" customWidth="1" min="4" max="4"/>
    <col width="14" customWidth="1" min="5" max="5"/>
    <col width="14" customWidth="1" min="6" max="6"/>
    <col width="18" customWidth="1" min="7" max="7"/>
    <col width="16" customWidth="1" min="8" max="8"/>
    <col width="4" customWidth="1" min="9" max="9"/>
    <col width="4" customWidth="1" min="10" max="10"/>
    <col width="4" customWidth="1" min="11" max="11"/>
    <col width="4" customWidth="1" min="12" max="12"/>
    <col width="4" customWidth="1" min="13" max="13"/>
    <col width="4" customWidth="1" min="14" max="14"/>
  </cols>
  <sheetData>
    <row r="1" ht="22" customHeight="1">
      <c r="A1" s="1" t="inlineStr">
        <is>
          <t>MARKETING PLAN DASHBOARD — 12-MONTH SUMMARY</t>
        </is>
      </c>
    </row>
    <row r="2" ht="18" customHeight="1">
      <c r="A2" s="53">
        <f>Assumptions!B4&amp;" — annual budget "&amp;IF(Assumptions!$B$57="USD","$"&amp;TEXT(Assumptions!B5*Assumptions!$B$59,"#,##0"),"₹"&amp;TEXT(Assumptions!B5,"#,##0"))</f>
        <v/>
      </c>
    </row>
    <row r="4" ht="22" customHeight="1">
      <c r="A4" s="54" t="inlineStr">
        <is>
          <t>Total Annual Budget</t>
        </is>
      </c>
      <c r="B4" s="55" t="n"/>
      <c r="D4" s="54" t="inlineStr">
        <is>
          <t>Total Projected Revenue (Year)</t>
        </is>
      </c>
      <c r="E4" s="55" t="n"/>
      <c r="G4" s="54" t="inlineStr">
        <is>
          <t>Blended ROAS</t>
        </is>
      </c>
      <c r="H4" s="55" t="n"/>
    </row>
    <row r="5" ht="30" customHeight="1">
      <c r="A5" s="56">
        <f>Assumptions!$B$5*Assumptions!$B$59</f>
        <v/>
      </c>
      <c r="B5" s="55" t="n"/>
      <c r="D5" s="57">
        <f>'Monthly Plan'!$N$123</f>
        <v/>
      </c>
      <c r="E5" s="55" t="n"/>
      <c r="G5" s="58">
        <f>'Monthly Plan'!$N$125</f>
        <v/>
      </c>
      <c r="H5" s="55" t="n"/>
    </row>
    <row r="7" ht="22" customHeight="1">
      <c r="A7" s="54" t="inlineStr">
        <is>
          <t>Total Customers Acquired (Year)</t>
        </is>
      </c>
      <c r="B7" s="55" t="n"/>
      <c r="D7" s="54" t="inlineStr">
        <is>
          <t>Blended CAC</t>
        </is>
      </c>
      <c r="E7" s="55" t="n"/>
      <c r="G7" s="54" t="inlineStr">
        <is>
          <t>Blended ROI %</t>
        </is>
      </c>
      <c r="H7" s="55" t="n"/>
    </row>
    <row r="8" ht="30" customHeight="1">
      <c r="A8" s="59">
        <f>'Monthly Plan'!$N$122</f>
        <v/>
      </c>
      <c r="B8" s="55" t="n"/>
      <c r="D8" s="60">
        <f>'Monthly Plan'!$N$126</f>
        <v/>
      </c>
      <c r="E8" s="55" t="n"/>
      <c r="G8" s="61">
        <f>'Monthly Plan'!$N$124</f>
        <v/>
      </c>
      <c r="H8" s="55" t="n"/>
    </row>
    <row r="10">
      <c r="A10" s="16" t="inlineStr">
        <is>
          <t>Every ₹ figure on this dashboard switches to $ automatically — set Display Currency on the Assumptions tab (Currency Settings section).</t>
        </is>
      </c>
    </row>
    <row r="11">
      <c r="A11" s="62" t="inlineStr">
        <is>
          <t>MONTHLY SPEND BY CHANNEL</t>
        </is>
      </c>
    </row>
    <row r="38">
      <c r="A38" s="62" t="inlineStr">
        <is>
          <t>MONTHLY REVENUE TREND (ALL CHANNELS)</t>
        </is>
      </c>
    </row>
    <row r="59" ht="18" customHeight="1">
      <c r="A59" s="63" t="inlineStr">
        <is>
          <t>CHANNEL SUMMARY (ANNUAL)</t>
        </is>
      </c>
    </row>
    <row r="60" ht="26" customHeight="1">
      <c r="A60" s="30" t="inlineStr">
        <is>
          <t>Channel</t>
        </is>
      </c>
      <c r="B60" s="30" t="inlineStr">
        <is>
          <t>Annual Spend (₹)</t>
        </is>
      </c>
      <c r="C60" s="30" t="inlineStr">
        <is>
          <t>Annual Revenue (₹)</t>
        </is>
      </c>
      <c r="D60" s="30" t="inlineStr">
        <is>
          <t>Annual Customers</t>
        </is>
      </c>
      <c r="E60" s="30" t="inlineStr">
        <is>
          <t>CAC (₹)</t>
        </is>
      </c>
      <c r="F60" s="30" t="inlineStr">
        <is>
          <t>ROI %</t>
        </is>
      </c>
    </row>
    <row r="61">
      <c r="A61" s="31" t="inlineStr">
        <is>
          <t>Sayzio (Link-in-Bio, QR &amp; Short Links)</t>
        </is>
      </c>
      <c r="B61" s="64">
        <f>'Monthly Plan'!$N$7</f>
        <v/>
      </c>
      <c r="C61" s="64">
        <f>'Monthly Plan'!$N$11</f>
        <v/>
      </c>
      <c r="D61" s="65">
        <f>'Monthly Plan'!$N$10</f>
        <v/>
      </c>
      <c r="E61" s="66">
        <f>IFERROR(B61/D61,0)</f>
        <v/>
      </c>
      <c r="F61" s="67">
        <f>IFERROR((C61-B61)/B61,0)</f>
        <v/>
      </c>
    </row>
    <row r="62">
      <c r="A62" s="31" t="inlineStr">
        <is>
          <t>Instagram Ads</t>
        </is>
      </c>
      <c r="B62" s="64">
        <f>'Monthly Plan'!$N$14</f>
        <v/>
      </c>
      <c r="C62" s="64">
        <f>'Monthly Plan'!$N$18</f>
        <v/>
      </c>
      <c r="D62" s="65">
        <f>'Monthly Plan'!$N$17</f>
        <v/>
      </c>
      <c r="E62" s="66">
        <f>IFERROR(B62/D62,0)</f>
        <v/>
      </c>
      <c r="F62" s="67">
        <f>IFERROR((C62-B62)/B62,0)</f>
        <v/>
      </c>
    </row>
    <row r="63">
      <c r="A63" s="31" t="inlineStr">
        <is>
          <t>Facebook Ads</t>
        </is>
      </c>
      <c r="B63" s="64">
        <f>'Monthly Plan'!$N$21</f>
        <v/>
      </c>
      <c r="C63" s="64">
        <f>'Monthly Plan'!$N$25</f>
        <v/>
      </c>
      <c r="D63" s="65">
        <f>'Monthly Plan'!$N$24</f>
        <v/>
      </c>
      <c r="E63" s="66">
        <f>IFERROR(B63/D63,0)</f>
        <v/>
      </c>
      <c r="F63" s="67">
        <f>IFERROR((C63-B63)/B63,0)</f>
        <v/>
      </c>
    </row>
    <row r="64">
      <c r="A64" s="31" t="inlineStr">
        <is>
          <t>WhatsApp Business</t>
        </is>
      </c>
      <c r="B64" s="64">
        <f>'Monthly Plan'!$N$28</f>
        <v/>
      </c>
      <c r="C64" s="64">
        <f>'Monthly Plan'!$N$32</f>
        <v/>
      </c>
      <c r="D64" s="65">
        <f>'Monthly Plan'!$N$31</f>
        <v/>
      </c>
      <c r="E64" s="66">
        <f>IFERROR(B64/D64,0)</f>
        <v/>
      </c>
      <c r="F64" s="67">
        <f>IFERROR((C64-B64)/B64,0)</f>
        <v/>
      </c>
    </row>
    <row r="65">
      <c r="A65" s="31" t="inlineStr">
        <is>
          <t>Twitter/X Ads</t>
        </is>
      </c>
      <c r="B65" s="64">
        <f>'Monthly Plan'!$N$35</f>
        <v/>
      </c>
      <c r="C65" s="64">
        <f>'Monthly Plan'!$N$39</f>
        <v/>
      </c>
      <c r="D65" s="65">
        <f>'Monthly Plan'!$N$38</f>
        <v/>
      </c>
      <c r="E65" s="66">
        <f>IFERROR(B65/D65,0)</f>
        <v/>
      </c>
      <c r="F65" s="67">
        <f>IFERROR((C65-B65)/B65,0)</f>
        <v/>
      </c>
    </row>
    <row r="66">
      <c r="A66" s="31" t="inlineStr">
        <is>
          <t>LinkedIn Ads</t>
        </is>
      </c>
      <c r="B66" s="64">
        <f>'Monthly Plan'!$N$42</f>
        <v/>
      </c>
      <c r="C66" s="64">
        <f>'Monthly Plan'!$N$46</f>
        <v/>
      </c>
      <c r="D66" s="65">
        <f>'Monthly Plan'!$N$45</f>
        <v/>
      </c>
      <c r="E66" s="66">
        <f>IFERROR(B66/D66,0)</f>
        <v/>
      </c>
      <c r="F66" s="67">
        <f>IFERROR((C66-B66)/B66,0)</f>
        <v/>
      </c>
    </row>
    <row r="67">
      <c r="A67" s="31" t="inlineStr">
        <is>
          <t>Google Display &amp; Discovery</t>
        </is>
      </c>
      <c r="B67" s="64">
        <f>'Monthly Plan'!$N$49</f>
        <v/>
      </c>
      <c r="C67" s="64">
        <f>'Monthly Plan'!$N$53</f>
        <v/>
      </c>
      <c r="D67" s="65">
        <f>'Monthly Plan'!$N$52</f>
        <v/>
      </c>
      <c r="E67" s="66">
        <f>IFERROR(B67/D67,0)</f>
        <v/>
      </c>
      <c r="F67" s="67">
        <f>IFERROR((C67-B67)/B67,0)</f>
        <v/>
      </c>
    </row>
    <row r="68">
      <c r="A68" s="31" t="inlineStr">
        <is>
          <t>YouTube Ads</t>
        </is>
      </c>
      <c r="B68" s="64">
        <f>'Monthly Plan'!$N$56</f>
        <v/>
      </c>
      <c r="C68" s="64">
        <f>'Monthly Plan'!$N$60</f>
        <v/>
      </c>
      <c r="D68" s="65">
        <f>'Monthly Plan'!$N$59</f>
        <v/>
      </c>
      <c r="E68" s="66">
        <f>IFERROR(B68/D68,0)</f>
        <v/>
      </c>
      <c r="F68" s="67">
        <f>IFERROR((C68-B68)/B68,0)</f>
        <v/>
      </c>
    </row>
    <row r="69">
      <c r="A69" s="31" t="inlineStr">
        <is>
          <t>Amazon Ads</t>
        </is>
      </c>
      <c r="B69" s="64">
        <f>'Monthly Plan'!$N$63</f>
        <v/>
      </c>
      <c r="C69" s="64">
        <f>'Monthly Plan'!$N$67</f>
        <v/>
      </c>
      <c r="D69" s="65">
        <f>'Monthly Plan'!$N$66</f>
        <v/>
      </c>
      <c r="E69" s="66">
        <f>IFERROR(B69/D69,0)</f>
        <v/>
      </c>
      <c r="F69" s="67">
        <f>IFERROR((C69-B69)/B69,0)</f>
        <v/>
      </c>
    </row>
    <row r="70">
      <c r="A70" s="31" t="inlineStr">
        <is>
          <t>Other Social/Display</t>
        </is>
      </c>
      <c r="B70" s="64">
        <f>'Monthly Plan'!$N$70</f>
        <v/>
      </c>
      <c r="C70" s="64">
        <f>'Monthly Plan'!$N$74</f>
        <v/>
      </c>
      <c r="D70" s="65">
        <f>'Monthly Plan'!$N$73</f>
        <v/>
      </c>
      <c r="E70" s="66">
        <f>IFERROR(B70/D70,0)</f>
        <v/>
      </c>
      <c r="F70" s="67">
        <f>IFERROR((C70-B70)/B70,0)</f>
        <v/>
      </c>
    </row>
    <row r="71">
      <c r="A71" s="31" t="inlineStr">
        <is>
          <t>Paid Search (Google Ads)</t>
        </is>
      </c>
      <c r="B71" s="64">
        <f>'Monthly Plan'!$N$77</f>
        <v/>
      </c>
      <c r="C71" s="64">
        <f>'Monthly Plan'!$N$81</f>
        <v/>
      </c>
      <c r="D71" s="65">
        <f>'Monthly Plan'!$N$80</f>
        <v/>
      </c>
      <c r="E71" s="66">
        <f>IFERROR(B71/D71,0)</f>
        <v/>
      </c>
      <c r="F71" s="67">
        <f>IFERROR((C71-B71)/B71,0)</f>
        <v/>
      </c>
    </row>
    <row r="72">
      <c r="A72" s="31" t="inlineStr">
        <is>
          <t>SEO &amp; Content Marketing</t>
        </is>
      </c>
      <c r="B72" s="64">
        <f>'Monthly Plan'!$N$84</f>
        <v/>
      </c>
      <c r="C72" s="64">
        <f>'Monthly Plan'!$N$88</f>
        <v/>
      </c>
      <c r="D72" s="65">
        <f>'Monthly Plan'!$N$87</f>
        <v/>
      </c>
      <c r="E72" s="66">
        <f>IFERROR(B72/D72,0)</f>
        <v/>
      </c>
      <c r="F72" s="67">
        <f>IFERROR((C72-B72)/B72,0)</f>
        <v/>
      </c>
    </row>
    <row r="73">
      <c r="A73" s="31" t="inlineStr">
        <is>
          <t>Email Marketing</t>
        </is>
      </c>
      <c r="B73" s="64">
        <f>'Monthly Plan'!$N$91</f>
        <v/>
      </c>
      <c r="C73" s="64">
        <f>'Monthly Plan'!$N$95</f>
        <v/>
      </c>
      <c r="D73" s="65">
        <f>'Monthly Plan'!$N$94</f>
        <v/>
      </c>
      <c r="E73" s="66">
        <f>IFERROR(B73/D73,0)</f>
        <v/>
      </c>
      <c r="F73" s="67">
        <f>IFERROR((C73-B73)/B73,0)</f>
        <v/>
      </c>
    </row>
    <row r="74">
      <c r="A74" s="31" t="inlineStr">
        <is>
          <t>Influencer &amp; Affiliate Marketing</t>
        </is>
      </c>
      <c r="B74" s="64">
        <f>'Monthly Plan'!$N$98</f>
        <v/>
      </c>
      <c r="C74" s="64">
        <f>'Monthly Plan'!$N$102</f>
        <v/>
      </c>
      <c r="D74" s="65">
        <f>'Monthly Plan'!$N$101</f>
        <v/>
      </c>
      <c r="E74" s="66">
        <f>IFERROR(B74/D74,0)</f>
        <v/>
      </c>
      <c r="F74" s="67">
        <f>IFERROR((C74-B74)/B74,0)</f>
        <v/>
      </c>
    </row>
    <row r="75">
      <c r="A75" s="31" t="inlineStr">
        <is>
          <t>Events &amp; Webinars</t>
        </is>
      </c>
      <c r="B75" s="64">
        <f>'Monthly Plan'!$N$105</f>
        <v/>
      </c>
      <c r="C75" s="64">
        <f>'Monthly Plan'!$N$109</f>
        <v/>
      </c>
      <c r="D75" s="65">
        <f>'Monthly Plan'!$N$108</f>
        <v/>
      </c>
      <c r="E75" s="66">
        <f>IFERROR(B75/D75,0)</f>
        <v/>
      </c>
      <c r="F75" s="67">
        <f>IFERROR((C75-B75)/B75,0)</f>
        <v/>
      </c>
    </row>
    <row r="76">
      <c r="A76" s="31" t="inlineStr">
        <is>
          <t>PR &amp; Media Outreach</t>
        </is>
      </c>
      <c r="B76" s="64">
        <f>'Monthly Plan'!$N$112</f>
        <v/>
      </c>
      <c r="C76" s="64">
        <f>'Monthly Plan'!$N$116</f>
        <v/>
      </c>
      <c r="D76" s="65">
        <f>'Monthly Plan'!$N$115</f>
        <v/>
      </c>
      <c r="E76" s="66">
        <f>IFERROR(B76/D76,0)</f>
        <v/>
      </c>
      <c r="F76" s="67">
        <f>IFERROR((C76-B76)/B76,0)</f>
        <v/>
      </c>
    </row>
    <row r="79">
      <c r="A79" s="62" t="inlineStr">
        <is>
          <t>ANNUAL SPEND ALLOCATION</t>
        </is>
      </c>
    </row>
    <row r="101">
      <c r="A101" s="62" t="inlineStr">
        <is>
          <t>CAC BY CHANNEL</t>
        </is>
      </c>
    </row>
  </sheetData>
  <mergeCells count="16">
    <mergeCell ref="A4:B4"/>
    <mergeCell ref="G4:H4"/>
    <mergeCell ref="D8:E8"/>
    <mergeCell ref="D7:E7"/>
    <mergeCell ref="A7:B7"/>
    <mergeCell ref="G7:H7"/>
    <mergeCell ref="A2:N2"/>
    <mergeCell ref="D5:E5"/>
    <mergeCell ref="A5:B5"/>
    <mergeCell ref="G5:H5"/>
    <mergeCell ref="A10:H10"/>
    <mergeCell ref="D4:E4"/>
    <mergeCell ref="G8:H8"/>
    <mergeCell ref="A8:B8"/>
    <mergeCell ref="A59:F59"/>
    <mergeCell ref="A1:N1"/>
  </mergeCells>
  <conditionalFormatting sqref="A5">
    <cfRule type="expression" priority="1" dxfId="67">
      <formula>Assumptions!$B$57="USD"</formula>
    </cfRule>
  </conditionalFormatting>
  <conditionalFormatting sqref="D5">
    <cfRule type="expression" priority="2" dxfId="68">
      <formula>Assumptions!$B$57="USD"</formula>
    </cfRule>
  </conditionalFormatting>
  <conditionalFormatting sqref="D8">
    <cfRule type="expression" priority="3" dxfId="69">
      <formula>Assumptions!$B$57="USD"</formula>
    </cfRule>
  </conditionalFormatting>
  <conditionalFormatting sqref="B61:B76">
    <cfRule type="expression" priority="4" dxfId="70">
      <formula>Assumptions!$B$57="USD"</formula>
    </cfRule>
  </conditionalFormatting>
  <conditionalFormatting sqref="C61:C76">
    <cfRule type="expression" priority="5" dxfId="71">
      <formula>Assumptions!$B$57="USD"</formula>
    </cfRule>
  </conditionalFormatting>
  <conditionalFormatting sqref="E61:E76">
    <cfRule type="expression" priority="6" dxfId="72">
      <formula>Assumptions!$B$57="USD"</formula>
    </cfRule>
  </conditionalFormatting>
  <printOptions horizontalCentered="1"/>
  <pageMargins left="0.4" right="0.4" top="0.5" bottom="0.5" header="0.2" footer="0.2"/>
  <pageSetup orientation="landscape" paperSize="9" fitToHeight="0" fitToWidth="1"/>
  <headerFooter>
    <oddHeader>&amp;C&amp;11 Marketing Plan Dashboard — 12-Month Summary&amp;R&amp;D</oddHeader>
    <oddFooter>&amp;LGenerated from Sayzio-Powered Digital Marketing Plan&amp;RPage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N43"/>
  <sheetViews>
    <sheetView showGridLines="0" workbookViewId="0">
      <pane ySplit="2" topLeftCell="A3" activePane="bottomLeft" state="frozen"/>
      <selection pane="bottomLeft" activeCell="A1" sqref="A1"/>
    </sheetView>
  </sheetViews>
  <sheetFormatPr baseColWidth="8" defaultRowHeight="15"/>
  <cols>
    <col width="40" customWidth="1" min="1" max="1"/>
    <col width="24" customWidth="1" min="2" max="2"/>
    <col width="18" customWidth="1" min="3" max="3"/>
    <col width="4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A1" s="1" t="inlineStr">
        <is>
          <t>SAYZIO VALUE &amp; ROI — SAVINGS AND EFFECTIVENESS SUMMARY</t>
        </is>
      </c>
    </row>
    <row r="2" ht="18" customHeight="1">
      <c r="A2" s="2" t="inlineStr">
        <is>
          <t>Blue text = editable input. ₹ figures below switch to $ automatically with the Display Currency toggle on the Assumptions tab.</t>
        </is>
      </c>
    </row>
    <row r="4" ht="20" customHeight="1">
      <c r="A4" s="8" t="inlineStr">
        <is>
          <t>IF YOU DIDN'T USE SAYZIO — WHAT YOU'D NEED INSTEAD (ESTIMATED STANDALONE TOOL COSTS)</t>
        </is>
      </c>
    </row>
    <row r="5" ht="24" customHeight="1">
      <c r="A5" s="17" t="inlineStr">
        <is>
          <t>Sayzio Feature</t>
        </is>
      </c>
      <c r="B5" s="17" t="inlineStr">
        <is>
          <t>Example Standalone Tool</t>
        </is>
      </c>
      <c r="C5" s="17" t="inlineStr">
        <is>
          <t>Est. Monthly Cost (₹)</t>
        </is>
      </c>
      <c r="D5" s="17" t="inlineStr">
        <is>
          <t>Notes</t>
        </is>
      </c>
    </row>
    <row r="6">
      <c r="A6" s="31" t="inlineStr">
        <is>
          <t>Link-in-Bio Page</t>
        </is>
      </c>
      <c r="B6" s="31" t="inlineStr">
        <is>
          <t>Linktree Pro / Beacons</t>
        </is>
      </c>
      <c r="C6" s="21" t="n">
        <v>1600</v>
      </c>
      <c r="D6" s="22" t="inlineStr">
        <is>
          <t>Sayzio's bio-link mini-site replaces this</t>
        </is>
      </c>
    </row>
    <row r="7">
      <c r="A7" s="31" t="inlineStr">
        <is>
          <t>QR Code Generator</t>
        </is>
      </c>
      <c r="B7" s="31" t="inlineStr">
        <is>
          <t>Dynamic QR code tools</t>
        </is>
      </c>
      <c r="C7" s="21" t="n">
        <v>1200</v>
      </c>
      <c r="D7" s="22" t="inlineStr">
        <is>
          <t>Trackable, brandable QR codes</t>
        </is>
      </c>
    </row>
    <row r="8">
      <c r="A8" s="31" t="inlineStr">
        <is>
          <t>Digital Business Card</t>
        </is>
      </c>
      <c r="B8" s="31" t="inlineStr">
        <is>
          <t>Blinq / CardX</t>
        </is>
      </c>
      <c r="C8" s="21" t="n">
        <v>800</v>
      </c>
      <c r="D8" s="22" t="inlineStr">
        <is>
          <t>Shareable digital contact card</t>
        </is>
      </c>
    </row>
    <row r="9">
      <c r="A9" s="31" t="inlineStr">
        <is>
          <t>CRM &amp; Contacts</t>
        </is>
      </c>
      <c r="B9" s="31" t="inlineStr">
        <is>
          <t>Zoho CRM / HubSpot Starter</t>
        </is>
      </c>
      <c r="C9" s="21" t="n">
        <v>4000</v>
      </c>
      <c r="D9" s="22" t="inlineStr">
        <is>
          <t>Central contact database &amp; pipeline</t>
        </is>
      </c>
    </row>
    <row r="10">
      <c r="A10" s="31" t="inlineStr">
        <is>
          <t>Dialer / Click-to-Call</t>
        </is>
      </c>
      <c r="B10" s="31" t="inlineStr">
        <is>
          <t>JustCall / Ozonetel</t>
        </is>
      </c>
      <c r="C10" s="21" t="n">
        <v>3500</v>
      </c>
      <c r="D10" s="22" t="inlineStr">
        <is>
          <t>Click-to-call &amp; call logging</t>
        </is>
      </c>
    </row>
    <row r="11">
      <c r="A11" s="31" t="inlineStr">
        <is>
          <t>Lead Capture Forms</t>
        </is>
      </c>
      <c r="B11" s="31" t="inlineStr">
        <is>
          <t>Typeform / Google Forms</t>
        </is>
      </c>
      <c r="C11" s="21" t="n">
        <v>1500</v>
      </c>
      <c r="D11" s="22" t="inlineStr">
        <is>
          <t>Embeddable lead-capture forms</t>
        </is>
      </c>
    </row>
    <row r="12">
      <c r="A12" s="31" t="inlineStr">
        <is>
          <t>Live Chat / AI Site Assistant</t>
        </is>
      </c>
      <c r="B12" s="31" t="inlineStr">
        <is>
          <t>Tidio / Intercom</t>
        </is>
      </c>
      <c r="C12" s="21" t="n">
        <v>5000</v>
      </c>
      <c r="D12" s="22" t="inlineStr">
        <is>
          <t>On-site chat widget &amp; AI assistant</t>
        </is>
      </c>
    </row>
    <row r="13">
      <c r="A13" s="31" t="inlineStr">
        <is>
          <t>File-Share Links</t>
        </is>
      </c>
      <c r="B13" s="31" t="inlineStr">
        <is>
          <t>WeTransfer Pro / Dropbox</t>
        </is>
      </c>
      <c r="C13" s="21" t="n">
        <v>800</v>
      </c>
      <c r="D13" s="22" t="inlineStr">
        <is>
          <t>Branded, trackable file-share links</t>
        </is>
      </c>
    </row>
    <row r="14">
      <c r="A14" s="31" t="inlineStr">
        <is>
          <t>Event Page / RSVP</t>
        </is>
      </c>
      <c r="B14" s="31" t="inlineStr">
        <is>
          <t>Eventbrite</t>
        </is>
      </c>
      <c r="C14" s="21" t="n">
        <v>2000</v>
      </c>
      <c r="D14" s="22" t="inlineStr">
        <is>
          <t>Event landing page &amp; registration</t>
        </is>
      </c>
    </row>
    <row r="15">
      <c r="A15" s="31" t="inlineStr">
        <is>
          <t>Review / Testimonial Page</t>
        </is>
      </c>
      <c r="B15" s="31" t="inlineStr">
        <is>
          <t>Trustpilot Business</t>
        </is>
      </c>
      <c r="C15" s="21" t="n">
        <v>3000</v>
      </c>
      <c r="D15" s="22" t="inlineStr">
        <is>
          <t>Collect &amp; display customer reviews</t>
        </is>
      </c>
    </row>
    <row r="16">
      <c r="A16" s="31" t="inlineStr">
        <is>
          <t>Restaurant Menu / Website Page</t>
        </is>
      </c>
      <c r="B16" s="31" t="inlineStr">
        <is>
          <t>Wix / Bites</t>
        </is>
      </c>
      <c r="C16" s="21" t="n">
        <v>2500</v>
      </c>
      <c r="D16" s="22" t="inlineStr">
        <is>
          <t>Menu builder / simple website page</t>
        </is>
      </c>
    </row>
    <row r="17">
      <c r="A17" s="9" t="inlineStr">
        <is>
          <t>TOTAL — Estimated Monthly Cost If You Went Without Sayzio</t>
        </is>
      </c>
      <c r="C17" s="46">
        <f>SUM(C6:C16)*Assumptions!$B$59</f>
        <v/>
      </c>
    </row>
    <row r="18">
      <c r="A18" s="7" t="inlineStr">
        <is>
          <t>Your Current Sayzio Monthly Subscription Cost</t>
        </is>
      </c>
      <c r="C18" s="68">
        <f>Assumptions!$B$14*Assumptions!$B$59</f>
        <v/>
      </c>
    </row>
    <row r="19">
      <c r="A19" s="29" t="inlineStr">
        <is>
          <t>Extra Monthly Spend Without Sayzio</t>
        </is>
      </c>
      <c r="C19" s="69">
        <f>C17-C18</f>
        <v/>
      </c>
    </row>
    <row r="20">
      <c r="A20" s="29" t="inlineStr">
        <is>
          <t>Extra Annual Spend Without Sayzio</t>
        </is>
      </c>
      <c r="C20" s="69">
        <f>C19*12</f>
        <v/>
      </c>
    </row>
    <row r="22" ht="20" customHeight="1">
      <c r="A22" s="8" t="inlineStr">
        <is>
          <t>TIME YOU SAVE BY CONSOLIDATING INTO SAYZIO</t>
        </is>
      </c>
    </row>
    <row r="23">
      <c r="A23" s="7" t="inlineStr">
        <is>
          <t>Standalone Tools Replaced (count)</t>
        </is>
      </c>
      <c r="C23" s="70">
        <f>COUNTA(A6:A16)</f>
        <v/>
      </c>
    </row>
    <row r="24">
      <c r="A24" s="9" t="inlineStr">
        <is>
          <t>Est. Hours Saved per Tool per Month</t>
        </is>
      </c>
      <c r="C24" s="71" t="n">
        <v>1.5</v>
      </c>
      <c r="D24" s="16" t="inlineStr">
        <is>
          <t>Time saved not switching between tools, re-entering data, or reconciling separate systems</t>
        </is>
      </c>
    </row>
    <row r="25">
      <c r="A25" s="7" t="inlineStr">
        <is>
          <t>Total Hours Saved per Month (computed)</t>
        </is>
      </c>
      <c r="C25" s="72">
        <f>C23*C24</f>
        <v/>
      </c>
    </row>
    <row r="26">
      <c r="A26" s="9" t="inlineStr">
        <is>
          <t>Value of Your Time (₹/hour)</t>
        </is>
      </c>
      <c r="C26" s="73" t="n">
        <v>1000</v>
      </c>
    </row>
    <row r="27">
      <c r="A27" s="7" t="inlineStr">
        <is>
          <t>Monthly Value of Time Saved (computed)</t>
        </is>
      </c>
      <c r="C27" s="68">
        <f>C25*C26*Assumptions!$B$59</f>
        <v/>
      </c>
    </row>
    <row r="28">
      <c r="A28" s="29" t="inlineStr">
        <is>
          <t>Annual Value of Time Saved (computed)</t>
        </is>
      </c>
      <c r="C28" s="69">
        <f>C27*12</f>
        <v/>
      </c>
    </row>
    <row r="30" ht="20" customHeight="1">
      <c r="A30" s="8" t="inlineStr">
        <is>
          <t>MONEY &amp; TIME SAVED — SUMMARY</t>
        </is>
      </c>
    </row>
    <row r="31">
      <c r="A31" s="7" t="inlineStr">
        <is>
          <t>Money Saved on Tools (Year)</t>
        </is>
      </c>
      <c r="C31" s="68">
        <f>C20</f>
        <v/>
      </c>
    </row>
    <row r="32">
      <c r="A32" s="7" t="inlineStr">
        <is>
          <t>Money Saved via Time (Year)</t>
        </is>
      </c>
      <c r="C32" s="68">
        <f>C28</f>
        <v/>
      </c>
    </row>
    <row r="33">
      <c r="A33" s="29" t="inlineStr">
        <is>
          <t>TOTAL TANGIBLE SAVINGS FROM SAYZIO (YEAR)</t>
        </is>
      </c>
      <c r="C33" s="74">
        <f>C31+C32</f>
        <v/>
      </c>
    </row>
    <row r="35" ht="20" customHeight="1">
      <c r="A35" s="8" t="inlineStr">
        <is>
          <t>SAYZIO EFFECTIVENESS — REVENUE IMPACT (CURRENT &amp; FUTURE)</t>
        </is>
      </c>
    </row>
    <row r="36">
      <c r="A36" s="7" t="inlineStr">
        <is>
          <t>Baseline Annual Revenue — No CRM/Dialer/Chat Uplift</t>
        </is>
      </c>
      <c r="C36" s="68">
        <f>'Monthly Plan'!$N$123/(Assumptions!$B$71*Assumptions!$B$72)</f>
        <v/>
      </c>
    </row>
    <row r="37">
      <c r="A37" s="7" t="inlineStr">
        <is>
          <t>Annual Revenue With Sayzio Effectiveness (Current Setting)</t>
        </is>
      </c>
      <c r="C37" s="68">
        <f>'Monthly Plan'!$N$123</f>
        <v/>
      </c>
    </row>
    <row r="38">
      <c r="A38" s="29" t="inlineStr">
        <is>
          <t>Additional Revenue From Sayzio Effectiveness (Year)</t>
        </is>
      </c>
      <c r="C38" s="69">
        <f>C37-C36</f>
        <v/>
      </c>
    </row>
    <row r="39">
      <c r="A39" s="7" t="inlineStr">
        <is>
          <t>Effectiveness Uplift on Revenue (%)</t>
        </is>
      </c>
      <c r="C39" s="75">
        <f>IFERROR(C38/C36,0)</f>
        <v/>
      </c>
    </row>
    <row r="40" ht="40" customHeight="1">
      <c r="A40" s="33" t="inlineStr">
        <is>
          <t>Reflects the current 'Apply Sayzio Toolset Uplifts?' setting on the Assumptions tab — set it to Yes to see the full effectiveness value. As your team fully adopts the CRM, Dialer and Chat Widget workflows and lead-response times shorten, these uplift assumptions — and the additional revenue they represent — typically improve further. Revisit the CRM/Chat uplift % assumptions periodically with your own before/after data.</t>
        </is>
      </c>
    </row>
    <row r="42" ht="22" customHeight="1">
      <c r="A42" s="76" t="inlineStr">
        <is>
          <t>TOTAL VALUE OF USING SAYZIO</t>
        </is>
      </c>
    </row>
    <row r="43" ht="30" customHeight="1">
      <c r="A43" s="77" t="inlineStr">
        <is>
          <t>Total Value of Using Sayzio (Year) — Tangible Savings + Effectiveness Revenue</t>
        </is>
      </c>
      <c r="B43" s="55" t="n"/>
      <c r="C43" s="57">
        <f>C33+C38</f>
        <v/>
      </c>
      <c r="D43" s="55" t="n"/>
    </row>
  </sheetData>
  <mergeCells count="10">
    <mergeCell ref="A40:N40"/>
    <mergeCell ref="C43:D43"/>
    <mergeCell ref="A22:D22"/>
    <mergeCell ref="A43:B43"/>
    <mergeCell ref="A35:D35"/>
    <mergeCell ref="A4:D4"/>
    <mergeCell ref="A2:N2"/>
    <mergeCell ref="A30:D30"/>
    <mergeCell ref="A42:D42"/>
    <mergeCell ref="A1:N1"/>
  </mergeCells>
  <conditionalFormatting sqref="C17">
    <cfRule type="expression" priority="1" dxfId="73">
      <formula>Assumptions!$B$57="USD"</formula>
    </cfRule>
  </conditionalFormatting>
  <conditionalFormatting sqref="C18">
    <cfRule type="expression" priority="2" dxfId="74">
      <formula>Assumptions!$B$57="USD"</formula>
    </cfRule>
  </conditionalFormatting>
  <conditionalFormatting sqref="C19">
    <cfRule type="expression" priority="3" dxfId="75">
      <formula>Assumptions!$B$57="USD"</formula>
    </cfRule>
  </conditionalFormatting>
  <conditionalFormatting sqref="C20">
    <cfRule type="expression" priority="4" dxfId="76">
      <formula>Assumptions!$B$57="USD"</formula>
    </cfRule>
  </conditionalFormatting>
  <conditionalFormatting sqref="C27">
    <cfRule type="expression" priority="5" dxfId="77">
      <formula>Assumptions!$B$57="USD"</formula>
    </cfRule>
  </conditionalFormatting>
  <conditionalFormatting sqref="C28">
    <cfRule type="expression" priority="6" dxfId="78">
      <formula>Assumptions!$B$57="USD"</formula>
    </cfRule>
  </conditionalFormatting>
  <conditionalFormatting sqref="C31">
    <cfRule type="expression" priority="7" dxfId="79">
      <formula>Assumptions!$B$57="USD"</formula>
    </cfRule>
  </conditionalFormatting>
  <conditionalFormatting sqref="C32">
    <cfRule type="expression" priority="8" dxfId="80">
      <formula>Assumptions!$B$57="USD"</formula>
    </cfRule>
  </conditionalFormatting>
  <conditionalFormatting sqref="C33">
    <cfRule type="expression" priority="9" dxfId="81">
      <formula>Assumptions!$B$57="USD"</formula>
    </cfRule>
  </conditionalFormatting>
  <conditionalFormatting sqref="C36">
    <cfRule type="expression" priority="10" dxfId="82">
      <formula>Assumptions!$B$57="USD"</formula>
    </cfRule>
  </conditionalFormatting>
  <conditionalFormatting sqref="C37">
    <cfRule type="expression" priority="11" dxfId="83">
      <formula>Assumptions!$B$57="USD"</formula>
    </cfRule>
  </conditionalFormatting>
  <conditionalFormatting sqref="C38">
    <cfRule type="expression" priority="12" dxfId="84">
      <formula>Assumptions!$B$57="USD"</formula>
    </cfRule>
  </conditionalFormatting>
  <conditionalFormatting sqref="C43">
    <cfRule type="expression" priority="13" dxfId="85">
      <formula>Assumptions!$B$57="USD"</formula>
    </cfRule>
  </conditionalFormatting>
  <printOptions horizontalCentered="1"/>
  <pageMargins left="0.4" right="0.4" top="0.5" bottom="0.5" header="0.5" footer="0.5"/>
  <pageSetup orientation="landscape" paperSize="9" fitToHeight="0" fitToWidth="1"/>
  <headerFooter>
    <oddHeader>&amp;CSayzio Value &amp; ROI Summary</oddHeader>
    <oddFoot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2026-08-06T14:49:05Z</dcterms:created>
  <dcterms:modified xmlns:dcterms="http://purl.org/dc/terms/" xmlns:xsi="http://www.w3.org/2001/XMLSchema-instance" xsi:type="dcterms:W3CDTF">2026-08-06T14:49:05Z</dcterms:modified>
</cp:coreProperties>
</file>